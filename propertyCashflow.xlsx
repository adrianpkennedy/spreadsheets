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66925"/>
  <xr:revisionPtr revIDLastSave="330" documentId="11_E60897F41BE170836B02CE998F75CCDC64E183C8" xr6:coauthVersionLast="47" xr6:coauthVersionMax="47" xr10:uidLastSave="{988F8495-E123-4BBA-A1AD-C59B7A4CB9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11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12" i="1"/>
  <c r="R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12" i="1"/>
  <c r="H11" i="1"/>
  <c r="P11" i="1"/>
  <c r="F11" i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G5" i="1"/>
  <c r="C6" i="1"/>
  <c r="C5" i="1"/>
  <c r="B12" i="1" l="1"/>
  <c r="B1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12" i="1"/>
  <c r="M11" i="1"/>
  <c r="S11" i="1" s="1"/>
  <c r="L11" i="1"/>
  <c r="N11" i="1" s="1"/>
  <c r="O11" i="1" s="1"/>
  <c r="P12" i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C11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13" i="1"/>
  <c r="B14" i="1"/>
  <c r="I11" i="1" l="1"/>
  <c r="M12" i="1"/>
  <c r="S12" i="1" s="1"/>
  <c r="Q11" i="1"/>
  <c r="D11" i="1"/>
  <c r="E11" i="1" s="1"/>
  <c r="G11" i="1" s="1"/>
  <c r="N12" i="1" l="1"/>
  <c r="O12" i="1" s="1"/>
  <c r="C12" i="1"/>
  <c r="I12" i="1" s="1"/>
  <c r="M13" i="1" l="1"/>
  <c r="S13" i="1" s="1"/>
  <c r="Q12" i="1"/>
  <c r="D12" i="1"/>
  <c r="E12" i="1" s="1"/>
  <c r="G12" i="1" s="1"/>
  <c r="C13" i="1"/>
  <c r="I13" i="1" s="1"/>
  <c r="N13" i="1" l="1"/>
  <c r="O13" i="1" s="1"/>
  <c r="D13" i="1"/>
  <c r="E13" i="1" s="1"/>
  <c r="G13" i="1" s="1"/>
  <c r="C14" i="1"/>
  <c r="I14" i="1" s="1"/>
  <c r="Q13" i="1" l="1"/>
  <c r="M14" i="1"/>
  <c r="S14" i="1" s="1"/>
  <c r="D14" i="1"/>
  <c r="E14" i="1" s="1"/>
  <c r="G14" i="1" s="1"/>
  <c r="C15" i="1"/>
  <c r="I15" i="1" s="1"/>
  <c r="N14" i="1" l="1"/>
  <c r="O14" i="1" s="1"/>
  <c r="D15" i="1"/>
  <c r="E15" i="1" s="1"/>
  <c r="G15" i="1" s="1"/>
  <c r="C16" i="1"/>
  <c r="I16" i="1" s="1"/>
  <c r="Q14" i="1" l="1"/>
  <c r="M15" i="1"/>
  <c r="S15" i="1" s="1"/>
  <c r="D16" i="1"/>
  <c r="E16" i="1" s="1"/>
  <c r="G16" i="1" s="1"/>
  <c r="C17" i="1"/>
  <c r="I17" i="1" s="1"/>
  <c r="N15" i="1" l="1"/>
  <c r="O15" i="1" s="1"/>
  <c r="D17" i="1"/>
  <c r="E17" i="1" s="1"/>
  <c r="G17" i="1" s="1"/>
  <c r="C18" i="1"/>
  <c r="I18" i="1" s="1"/>
  <c r="Q15" i="1" l="1"/>
  <c r="M16" i="1"/>
  <c r="S16" i="1" s="1"/>
  <c r="D18" i="1"/>
  <c r="E18" i="1" s="1"/>
  <c r="G18" i="1" s="1"/>
  <c r="C19" i="1"/>
  <c r="I19" i="1" s="1"/>
  <c r="N16" i="1" l="1"/>
  <c r="O16" i="1" s="1"/>
  <c r="D19" i="1"/>
  <c r="E19" i="1" s="1"/>
  <c r="G19" i="1" s="1"/>
  <c r="C20" i="1"/>
  <c r="I20" i="1" s="1"/>
  <c r="Q16" i="1" l="1"/>
  <c r="M17" i="1"/>
  <c r="S17" i="1" s="1"/>
  <c r="D20" i="1"/>
  <c r="E20" i="1" s="1"/>
  <c r="G20" i="1" s="1"/>
  <c r="C21" i="1"/>
  <c r="I21" i="1" s="1"/>
  <c r="N17" i="1" l="1"/>
  <c r="O17" i="1" s="1"/>
  <c r="D21" i="1"/>
  <c r="E21" i="1" s="1"/>
  <c r="G21" i="1" s="1"/>
  <c r="C22" i="1"/>
  <c r="I22" i="1" s="1"/>
  <c r="Q17" i="1" l="1"/>
  <c r="M18" i="1"/>
  <c r="S18" i="1" s="1"/>
  <c r="D22" i="1"/>
  <c r="E22" i="1" s="1"/>
  <c r="G22" i="1" s="1"/>
  <c r="C23" i="1"/>
  <c r="I23" i="1" s="1"/>
  <c r="N18" i="1" l="1"/>
  <c r="O18" i="1" s="1"/>
  <c r="D23" i="1"/>
  <c r="E23" i="1" s="1"/>
  <c r="G23" i="1" s="1"/>
  <c r="C24" i="1"/>
  <c r="I24" i="1" s="1"/>
  <c r="Q18" i="1" l="1"/>
  <c r="M19" i="1"/>
  <c r="S19" i="1" s="1"/>
  <c r="D24" i="1"/>
  <c r="E24" i="1" s="1"/>
  <c r="G24" i="1" s="1"/>
  <c r="C25" i="1"/>
  <c r="I25" i="1" s="1"/>
  <c r="N19" i="1" l="1"/>
  <c r="O19" i="1" s="1"/>
  <c r="D25" i="1"/>
  <c r="E25" i="1" s="1"/>
  <c r="G25" i="1" s="1"/>
  <c r="C26" i="1"/>
  <c r="I26" i="1" s="1"/>
  <c r="Q19" i="1" l="1"/>
  <c r="M20" i="1"/>
  <c r="S20" i="1" s="1"/>
  <c r="D26" i="1"/>
  <c r="E26" i="1" s="1"/>
  <c r="G26" i="1" s="1"/>
  <c r="C27" i="1"/>
  <c r="I27" i="1" s="1"/>
  <c r="N20" i="1" l="1"/>
  <c r="O20" i="1" s="1"/>
  <c r="D27" i="1"/>
  <c r="E27" i="1" s="1"/>
  <c r="G27" i="1" s="1"/>
  <c r="C28" i="1"/>
  <c r="I28" i="1" s="1"/>
  <c r="Q20" i="1" l="1"/>
  <c r="M21" i="1"/>
  <c r="S21" i="1" s="1"/>
  <c r="D28" i="1"/>
  <c r="E28" i="1" s="1"/>
  <c r="G28" i="1" s="1"/>
  <c r="C29" i="1"/>
  <c r="I29" i="1" s="1"/>
  <c r="N21" i="1" l="1"/>
  <c r="O21" i="1" s="1"/>
  <c r="D29" i="1"/>
  <c r="E29" i="1" s="1"/>
  <c r="G29" i="1" s="1"/>
  <c r="C30" i="1"/>
  <c r="I30" i="1" s="1"/>
  <c r="Q21" i="1" l="1"/>
  <c r="M22" i="1"/>
  <c r="S22" i="1" s="1"/>
  <c r="D30" i="1"/>
  <c r="E30" i="1" s="1"/>
  <c r="G30" i="1" s="1"/>
  <c r="C31" i="1"/>
  <c r="I31" i="1" s="1"/>
  <c r="N22" i="1" l="1"/>
  <c r="O22" i="1" s="1"/>
  <c r="D31" i="1"/>
  <c r="E31" i="1" s="1"/>
  <c r="G31" i="1" s="1"/>
  <c r="C32" i="1"/>
  <c r="I32" i="1" s="1"/>
  <c r="Q22" i="1" l="1"/>
  <c r="M23" i="1"/>
  <c r="S23" i="1" s="1"/>
  <c r="D32" i="1"/>
  <c r="E32" i="1" s="1"/>
  <c r="G32" i="1" s="1"/>
  <c r="C33" i="1"/>
  <c r="I33" i="1" s="1"/>
  <c r="N23" i="1" l="1"/>
  <c r="O23" i="1" s="1"/>
  <c r="D33" i="1"/>
  <c r="E33" i="1" s="1"/>
  <c r="G33" i="1" s="1"/>
  <c r="C34" i="1"/>
  <c r="I34" i="1" s="1"/>
  <c r="Q23" i="1" l="1"/>
  <c r="M24" i="1"/>
  <c r="S24" i="1" s="1"/>
  <c r="D34" i="1"/>
  <c r="E34" i="1" s="1"/>
  <c r="G34" i="1" s="1"/>
  <c r="C35" i="1"/>
  <c r="I35" i="1" s="1"/>
  <c r="N24" i="1" l="1"/>
  <c r="O24" i="1" s="1"/>
  <c r="D35" i="1"/>
  <c r="E35" i="1" s="1"/>
  <c r="G35" i="1" s="1"/>
  <c r="C36" i="1"/>
  <c r="I36" i="1" s="1"/>
  <c r="Q24" i="1" l="1"/>
  <c r="M25" i="1"/>
  <c r="S25" i="1" s="1"/>
  <c r="D36" i="1"/>
  <c r="E36" i="1" s="1"/>
  <c r="G36" i="1" s="1"/>
  <c r="C37" i="1"/>
  <c r="I37" i="1" s="1"/>
  <c r="N25" i="1" l="1"/>
  <c r="O25" i="1" s="1"/>
  <c r="D37" i="1"/>
  <c r="E37" i="1" s="1"/>
  <c r="G37" i="1" s="1"/>
  <c r="C38" i="1"/>
  <c r="I38" i="1" s="1"/>
  <c r="Q25" i="1" l="1"/>
  <c r="M26" i="1"/>
  <c r="S26" i="1" s="1"/>
  <c r="D38" i="1"/>
  <c r="E38" i="1" s="1"/>
  <c r="G38" i="1" s="1"/>
  <c r="C39" i="1"/>
  <c r="I39" i="1" s="1"/>
  <c r="N26" i="1" l="1"/>
  <c r="O26" i="1" s="1"/>
  <c r="D39" i="1"/>
  <c r="E39" i="1" s="1"/>
  <c r="G39" i="1" s="1"/>
  <c r="C40" i="1"/>
  <c r="I40" i="1" s="1"/>
  <c r="Q26" i="1" l="1"/>
  <c r="M27" i="1"/>
  <c r="S27" i="1" s="1"/>
  <c r="D40" i="1"/>
  <c r="E40" i="1" s="1"/>
  <c r="G40" i="1" s="1"/>
  <c r="C41" i="1"/>
  <c r="I41" i="1" s="1"/>
  <c r="N27" i="1" l="1"/>
  <c r="O27" i="1" s="1"/>
  <c r="D41" i="1"/>
  <c r="E41" i="1" s="1"/>
  <c r="G41" i="1" s="1"/>
  <c r="C42" i="1"/>
  <c r="I42" i="1" s="1"/>
  <c r="Q27" i="1" l="1"/>
  <c r="M28" i="1"/>
  <c r="S28" i="1" s="1"/>
  <c r="D42" i="1"/>
  <c r="E42" i="1" s="1"/>
  <c r="G42" i="1" s="1"/>
  <c r="C43" i="1"/>
  <c r="I43" i="1" s="1"/>
  <c r="N28" i="1" l="1"/>
  <c r="O28" i="1" s="1"/>
  <c r="D43" i="1"/>
  <c r="E43" i="1" s="1"/>
  <c r="G43" i="1" s="1"/>
  <c r="C44" i="1"/>
  <c r="I44" i="1" s="1"/>
  <c r="Q28" i="1" l="1"/>
  <c r="M29" i="1"/>
  <c r="S29" i="1" s="1"/>
  <c r="D44" i="1"/>
  <c r="E44" i="1" s="1"/>
  <c r="G44" i="1" s="1"/>
  <c r="C45" i="1"/>
  <c r="I45" i="1" s="1"/>
  <c r="N29" i="1" l="1"/>
  <c r="O29" i="1" s="1"/>
  <c r="D45" i="1"/>
  <c r="E45" i="1" s="1"/>
  <c r="G45" i="1" s="1"/>
  <c r="C46" i="1"/>
  <c r="I46" i="1" s="1"/>
  <c r="Q29" i="1" l="1"/>
  <c r="M30" i="1"/>
  <c r="S30" i="1" s="1"/>
  <c r="D46" i="1"/>
  <c r="E46" i="1" s="1"/>
  <c r="G46" i="1" s="1"/>
  <c r="C47" i="1"/>
  <c r="I47" i="1" s="1"/>
  <c r="N30" i="1" l="1"/>
  <c r="O30" i="1" s="1"/>
  <c r="D47" i="1"/>
  <c r="E47" i="1" s="1"/>
  <c r="G47" i="1" s="1"/>
  <c r="C48" i="1"/>
  <c r="I48" i="1" s="1"/>
  <c r="Q30" i="1" l="1"/>
  <c r="M31" i="1"/>
  <c r="S31" i="1" s="1"/>
  <c r="D48" i="1"/>
  <c r="E48" i="1" s="1"/>
  <c r="G48" i="1" s="1"/>
  <c r="C49" i="1"/>
  <c r="I49" i="1" s="1"/>
  <c r="N31" i="1" l="1"/>
  <c r="O31" i="1" s="1"/>
  <c r="D49" i="1"/>
  <c r="E49" i="1" s="1"/>
  <c r="G49" i="1" s="1"/>
  <c r="C50" i="1"/>
  <c r="I50" i="1" s="1"/>
  <c r="Q31" i="1" l="1"/>
  <c r="M32" i="1"/>
  <c r="S32" i="1" s="1"/>
  <c r="D50" i="1"/>
  <c r="E50" i="1" s="1"/>
  <c r="G50" i="1" s="1"/>
  <c r="C51" i="1"/>
  <c r="I51" i="1" s="1"/>
  <c r="N32" i="1" l="1"/>
  <c r="O32" i="1" s="1"/>
  <c r="D51" i="1"/>
  <c r="E51" i="1" s="1"/>
  <c r="G51" i="1" s="1"/>
  <c r="C52" i="1"/>
  <c r="I52" i="1" s="1"/>
  <c r="Q32" i="1" l="1"/>
  <c r="M33" i="1"/>
  <c r="S33" i="1" s="1"/>
  <c r="D52" i="1"/>
  <c r="E52" i="1" s="1"/>
  <c r="G52" i="1" s="1"/>
  <c r="C53" i="1"/>
  <c r="I53" i="1" s="1"/>
  <c r="N33" i="1" l="1"/>
  <c r="O33" i="1" s="1"/>
  <c r="D53" i="1"/>
  <c r="E53" i="1" s="1"/>
  <c r="G53" i="1" s="1"/>
  <c r="C54" i="1"/>
  <c r="I54" i="1" s="1"/>
  <c r="Q33" i="1" l="1"/>
  <c r="M34" i="1"/>
  <c r="S34" i="1" s="1"/>
  <c r="D54" i="1"/>
  <c r="E54" i="1" s="1"/>
  <c r="G54" i="1" s="1"/>
  <c r="C55" i="1"/>
  <c r="I55" i="1" s="1"/>
  <c r="N34" i="1" l="1"/>
  <c r="O34" i="1" s="1"/>
  <c r="D55" i="1"/>
  <c r="E55" i="1" s="1"/>
  <c r="G55" i="1" s="1"/>
  <c r="C56" i="1"/>
  <c r="I56" i="1" s="1"/>
  <c r="Q34" i="1" l="1"/>
  <c r="M35" i="1"/>
  <c r="S35" i="1" s="1"/>
  <c r="D56" i="1"/>
  <c r="E56" i="1" s="1"/>
  <c r="G56" i="1" s="1"/>
  <c r="C57" i="1"/>
  <c r="I57" i="1" s="1"/>
  <c r="N35" i="1" l="1"/>
  <c r="O35" i="1" s="1"/>
  <c r="D57" i="1"/>
  <c r="E57" i="1" s="1"/>
  <c r="G57" i="1" s="1"/>
  <c r="C58" i="1"/>
  <c r="I58" i="1" s="1"/>
  <c r="Q35" i="1" l="1"/>
  <c r="M36" i="1"/>
  <c r="S36" i="1" s="1"/>
  <c r="D58" i="1"/>
  <c r="E58" i="1" s="1"/>
  <c r="G58" i="1" s="1"/>
  <c r="C59" i="1"/>
  <c r="I59" i="1" s="1"/>
  <c r="N36" i="1" l="1"/>
  <c r="O36" i="1" s="1"/>
  <c r="D59" i="1"/>
  <c r="E59" i="1" s="1"/>
  <c r="G59" i="1" s="1"/>
  <c r="C60" i="1"/>
  <c r="I60" i="1" s="1"/>
  <c r="Q36" i="1" l="1"/>
  <c r="M37" i="1"/>
  <c r="S37" i="1" s="1"/>
  <c r="D60" i="1"/>
  <c r="E60" i="1" s="1"/>
  <c r="G60" i="1" s="1"/>
  <c r="C61" i="1"/>
  <c r="I61" i="1" s="1"/>
  <c r="N37" i="1" l="1"/>
  <c r="O37" i="1" s="1"/>
  <c r="D61" i="1"/>
  <c r="E61" i="1" s="1"/>
  <c r="G61" i="1" s="1"/>
  <c r="C62" i="1"/>
  <c r="I62" i="1" s="1"/>
  <c r="Q37" i="1" l="1"/>
  <c r="M38" i="1"/>
  <c r="S38" i="1" s="1"/>
  <c r="D62" i="1"/>
  <c r="E62" i="1" s="1"/>
  <c r="G62" i="1" s="1"/>
  <c r="C63" i="1"/>
  <c r="I63" i="1" s="1"/>
  <c r="N38" i="1" l="1"/>
  <c r="O38" i="1" s="1"/>
  <c r="D63" i="1"/>
  <c r="E63" i="1" s="1"/>
  <c r="G63" i="1" s="1"/>
  <c r="C64" i="1"/>
  <c r="I64" i="1" s="1"/>
  <c r="Q38" i="1" l="1"/>
  <c r="M39" i="1"/>
  <c r="S39" i="1" s="1"/>
  <c r="D64" i="1"/>
  <c r="E64" i="1" s="1"/>
  <c r="G64" i="1" s="1"/>
  <c r="C65" i="1"/>
  <c r="I65" i="1" s="1"/>
  <c r="N39" i="1" l="1"/>
  <c r="O39" i="1" s="1"/>
  <c r="D65" i="1"/>
  <c r="E65" i="1" s="1"/>
  <c r="G65" i="1" s="1"/>
  <c r="C66" i="1"/>
  <c r="I66" i="1" s="1"/>
  <c r="Q39" i="1" l="1"/>
  <c r="M40" i="1"/>
  <c r="S40" i="1" s="1"/>
  <c r="D66" i="1"/>
  <c r="E66" i="1" s="1"/>
  <c r="G66" i="1" s="1"/>
  <c r="C67" i="1"/>
  <c r="I67" i="1" s="1"/>
  <c r="N40" i="1" l="1"/>
  <c r="O40" i="1" s="1"/>
  <c r="D67" i="1"/>
  <c r="E67" i="1" s="1"/>
  <c r="G67" i="1" s="1"/>
  <c r="C68" i="1"/>
  <c r="I68" i="1" s="1"/>
  <c r="Q40" i="1" l="1"/>
  <c r="M41" i="1"/>
  <c r="S41" i="1" s="1"/>
  <c r="D68" i="1"/>
  <c r="E68" i="1" s="1"/>
  <c r="G68" i="1" s="1"/>
  <c r="C69" i="1"/>
  <c r="I69" i="1" s="1"/>
  <c r="N41" i="1" l="1"/>
  <c r="O41" i="1" s="1"/>
  <c r="D69" i="1"/>
  <c r="E69" i="1" s="1"/>
  <c r="G69" i="1" s="1"/>
  <c r="C70" i="1"/>
  <c r="I70" i="1" s="1"/>
  <c r="Q41" i="1" l="1"/>
  <c r="M42" i="1"/>
  <c r="S42" i="1" s="1"/>
  <c r="D70" i="1"/>
  <c r="E70" i="1" s="1"/>
  <c r="G70" i="1" s="1"/>
  <c r="C71" i="1"/>
  <c r="I71" i="1" s="1"/>
  <c r="N42" i="1" l="1"/>
  <c r="O42" i="1" s="1"/>
  <c r="D71" i="1"/>
  <c r="E71" i="1" s="1"/>
  <c r="G71" i="1" s="1"/>
  <c r="C72" i="1"/>
  <c r="I72" i="1" s="1"/>
  <c r="Q42" i="1" l="1"/>
  <c r="M43" i="1"/>
  <c r="S43" i="1" s="1"/>
  <c r="D72" i="1"/>
  <c r="E72" i="1" s="1"/>
  <c r="G72" i="1" s="1"/>
  <c r="C73" i="1"/>
  <c r="I73" i="1" s="1"/>
  <c r="N43" i="1" l="1"/>
  <c r="O43" i="1" s="1"/>
  <c r="D73" i="1"/>
  <c r="E73" i="1" s="1"/>
  <c r="G73" i="1" s="1"/>
  <c r="C74" i="1"/>
  <c r="I74" i="1" s="1"/>
  <c r="Q43" i="1" l="1"/>
  <c r="M44" i="1"/>
  <c r="S44" i="1" s="1"/>
  <c r="D74" i="1"/>
  <c r="E74" i="1" s="1"/>
  <c r="G74" i="1" s="1"/>
  <c r="C75" i="1"/>
  <c r="I75" i="1" s="1"/>
  <c r="N44" i="1" l="1"/>
  <c r="O44" i="1" s="1"/>
  <c r="D75" i="1"/>
  <c r="E75" i="1" s="1"/>
  <c r="G75" i="1" s="1"/>
  <c r="C76" i="1"/>
  <c r="I76" i="1" s="1"/>
  <c r="Q44" i="1" l="1"/>
  <c r="M45" i="1"/>
  <c r="S45" i="1" s="1"/>
  <c r="D76" i="1"/>
  <c r="E76" i="1" s="1"/>
  <c r="G76" i="1" s="1"/>
  <c r="C77" i="1"/>
  <c r="I77" i="1" s="1"/>
  <c r="N45" i="1" l="1"/>
  <c r="O45" i="1" s="1"/>
  <c r="D77" i="1"/>
  <c r="E77" i="1" s="1"/>
  <c r="G77" i="1" s="1"/>
  <c r="C78" i="1"/>
  <c r="I78" i="1" s="1"/>
  <c r="Q45" i="1" l="1"/>
  <c r="M46" i="1"/>
  <c r="S46" i="1" s="1"/>
  <c r="D78" i="1"/>
  <c r="E78" i="1" s="1"/>
  <c r="G78" i="1" s="1"/>
  <c r="C79" i="1"/>
  <c r="I79" i="1" s="1"/>
  <c r="N46" i="1" l="1"/>
  <c r="O46" i="1" s="1"/>
  <c r="D79" i="1"/>
  <c r="E79" i="1" s="1"/>
  <c r="G79" i="1" s="1"/>
  <c r="C80" i="1"/>
  <c r="I80" i="1" s="1"/>
  <c r="Q46" i="1" l="1"/>
  <c r="M47" i="1"/>
  <c r="S47" i="1" s="1"/>
  <c r="D80" i="1"/>
  <c r="E80" i="1" s="1"/>
  <c r="G80" i="1" s="1"/>
  <c r="C81" i="1"/>
  <c r="I81" i="1" s="1"/>
  <c r="N47" i="1" l="1"/>
  <c r="O47" i="1" s="1"/>
  <c r="D81" i="1"/>
  <c r="E81" i="1" s="1"/>
  <c r="G81" i="1" s="1"/>
  <c r="C82" i="1"/>
  <c r="I82" i="1" s="1"/>
  <c r="Q47" i="1" l="1"/>
  <c r="M48" i="1"/>
  <c r="S48" i="1" s="1"/>
  <c r="D82" i="1"/>
  <c r="E82" i="1" s="1"/>
  <c r="G82" i="1" s="1"/>
  <c r="C83" i="1"/>
  <c r="I83" i="1" s="1"/>
  <c r="N48" i="1" l="1"/>
  <c r="O48" i="1" s="1"/>
  <c r="D83" i="1"/>
  <c r="E83" i="1" s="1"/>
  <c r="G83" i="1" s="1"/>
  <c r="C84" i="1"/>
  <c r="I84" i="1" s="1"/>
  <c r="Q48" i="1" l="1"/>
  <c r="M49" i="1"/>
  <c r="S49" i="1" s="1"/>
  <c r="D84" i="1"/>
  <c r="E84" i="1" s="1"/>
  <c r="G84" i="1" s="1"/>
  <c r="C85" i="1"/>
  <c r="I85" i="1" s="1"/>
  <c r="N49" i="1" l="1"/>
  <c r="O49" i="1" s="1"/>
  <c r="D85" i="1"/>
  <c r="E85" i="1" s="1"/>
  <c r="G85" i="1" s="1"/>
  <c r="C86" i="1"/>
  <c r="I86" i="1" s="1"/>
  <c r="Q49" i="1" l="1"/>
  <c r="M50" i="1"/>
  <c r="S50" i="1" s="1"/>
  <c r="D86" i="1"/>
  <c r="E86" i="1" s="1"/>
  <c r="G86" i="1" s="1"/>
  <c r="C87" i="1"/>
  <c r="I87" i="1" s="1"/>
  <c r="N50" i="1" l="1"/>
  <c r="O50" i="1" s="1"/>
  <c r="D87" i="1"/>
  <c r="E87" i="1" s="1"/>
  <c r="G87" i="1" s="1"/>
  <c r="C88" i="1"/>
  <c r="I88" i="1" s="1"/>
  <c r="Q50" i="1" l="1"/>
  <c r="M51" i="1"/>
  <c r="S51" i="1" s="1"/>
  <c r="D88" i="1"/>
  <c r="E88" i="1" s="1"/>
  <c r="G88" i="1" s="1"/>
  <c r="C89" i="1"/>
  <c r="I89" i="1" s="1"/>
  <c r="N51" i="1" l="1"/>
  <c r="O51" i="1" s="1"/>
  <c r="D89" i="1"/>
  <c r="E89" i="1" s="1"/>
  <c r="G89" i="1" s="1"/>
  <c r="C90" i="1"/>
  <c r="I90" i="1" s="1"/>
  <c r="Q51" i="1" l="1"/>
  <c r="M52" i="1"/>
  <c r="S52" i="1" s="1"/>
  <c r="D90" i="1"/>
  <c r="E90" i="1" s="1"/>
  <c r="G90" i="1" s="1"/>
  <c r="C91" i="1"/>
  <c r="I91" i="1" s="1"/>
  <c r="N52" i="1" l="1"/>
  <c r="O52" i="1" s="1"/>
  <c r="D91" i="1"/>
  <c r="E91" i="1" s="1"/>
  <c r="G91" i="1" s="1"/>
  <c r="C92" i="1"/>
  <c r="I92" i="1" s="1"/>
  <c r="Q52" i="1" l="1"/>
  <c r="M53" i="1"/>
  <c r="S53" i="1" s="1"/>
  <c r="D92" i="1"/>
  <c r="E92" i="1" s="1"/>
  <c r="G92" i="1" s="1"/>
  <c r="C93" i="1"/>
  <c r="I93" i="1" s="1"/>
  <c r="N53" i="1" l="1"/>
  <c r="O53" i="1" s="1"/>
  <c r="D93" i="1"/>
  <c r="E93" i="1" s="1"/>
  <c r="G93" i="1" s="1"/>
  <c r="C94" i="1"/>
  <c r="I94" i="1" s="1"/>
  <c r="Q53" i="1" l="1"/>
  <c r="M54" i="1"/>
  <c r="S54" i="1" s="1"/>
  <c r="D94" i="1"/>
  <c r="E94" i="1" s="1"/>
  <c r="G94" i="1" s="1"/>
  <c r="C95" i="1"/>
  <c r="I95" i="1" s="1"/>
  <c r="N54" i="1" l="1"/>
  <c r="O54" i="1" s="1"/>
  <c r="D95" i="1"/>
  <c r="E95" i="1" s="1"/>
  <c r="G95" i="1" s="1"/>
  <c r="C96" i="1"/>
  <c r="I96" i="1" s="1"/>
  <c r="Q54" i="1" l="1"/>
  <c r="M55" i="1"/>
  <c r="S55" i="1" s="1"/>
  <c r="D96" i="1"/>
  <c r="E96" i="1" s="1"/>
  <c r="G96" i="1" s="1"/>
  <c r="C97" i="1"/>
  <c r="I97" i="1" s="1"/>
  <c r="N55" i="1" l="1"/>
  <c r="O55" i="1" s="1"/>
  <c r="D97" i="1"/>
  <c r="E97" i="1" s="1"/>
  <c r="G97" i="1" s="1"/>
  <c r="C98" i="1"/>
  <c r="I98" i="1" s="1"/>
  <c r="Q55" i="1" l="1"/>
  <c r="M56" i="1"/>
  <c r="S56" i="1" s="1"/>
  <c r="D98" i="1"/>
  <c r="E98" i="1" s="1"/>
  <c r="G98" i="1" s="1"/>
  <c r="C99" i="1"/>
  <c r="I99" i="1" s="1"/>
  <c r="N56" i="1" l="1"/>
  <c r="O56" i="1" s="1"/>
  <c r="D99" i="1"/>
  <c r="E99" i="1" s="1"/>
  <c r="G99" i="1" s="1"/>
  <c r="C100" i="1"/>
  <c r="I100" i="1" s="1"/>
  <c r="Q56" i="1" l="1"/>
  <c r="M57" i="1"/>
  <c r="S57" i="1" s="1"/>
  <c r="D100" i="1"/>
  <c r="E100" i="1" s="1"/>
  <c r="G100" i="1" s="1"/>
  <c r="C101" i="1"/>
  <c r="I101" i="1" s="1"/>
  <c r="N57" i="1" l="1"/>
  <c r="O57" i="1" s="1"/>
  <c r="D101" i="1"/>
  <c r="E101" i="1" s="1"/>
  <c r="G101" i="1" s="1"/>
  <c r="C102" i="1"/>
  <c r="I102" i="1" s="1"/>
  <c r="Q57" i="1" l="1"/>
  <c r="M58" i="1"/>
  <c r="S58" i="1" s="1"/>
  <c r="D102" i="1"/>
  <c r="E102" i="1" s="1"/>
  <c r="G102" i="1" s="1"/>
  <c r="C103" i="1"/>
  <c r="I103" i="1" s="1"/>
  <c r="N58" i="1" l="1"/>
  <c r="O58" i="1" s="1"/>
  <c r="D103" i="1"/>
  <c r="E103" i="1" s="1"/>
  <c r="G103" i="1" s="1"/>
  <c r="C104" i="1"/>
  <c r="I104" i="1" s="1"/>
  <c r="Q58" i="1" l="1"/>
  <c r="M59" i="1"/>
  <c r="S59" i="1" s="1"/>
  <c r="D104" i="1"/>
  <c r="E104" i="1" s="1"/>
  <c r="G104" i="1" s="1"/>
  <c r="C105" i="1"/>
  <c r="I105" i="1" s="1"/>
  <c r="N59" i="1" l="1"/>
  <c r="O59" i="1" s="1"/>
  <c r="D105" i="1"/>
  <c r="E105" i="1" s="1"/>
  <c r="G105" i="1" s="1"/>
  <c r="C106" i="1"/>
  <c r="I106" i="1" s="1"/>
  <c r="Q59" i="1" l="1"/>
  <c r="M60" i="1"/>
  <c r="S60" i="1" s="1"/>
  <c r="D106" i="1"/>
  <c r="E106" i="1" s="1"/>
  <c r="G106" i="1" s="1"/>
  <c r="C107" i="1"/>
  <c r="I107" i="1" s="1"/>
  <c r="N60" i="1" l="1"/>
  <c r="O60" i="1" s="1"/>
  <c r="D107" i="1"/>
  <c r="E107" i="1" s="1"/>
  <c r="G107" i="1" s="1"/>
  <c r="C108" i="1"/>
  <c r="I108" i="1" s="1"/>
  <c r="Q60" i="1" l="1"/>
  <c r="M61" i="1"/>
  <c r="S61" i="1" s="1"/>
  <c r="D108" i="1"/>
  <c r="E108" i="1" s="1"/>
  <c r="G108" i="1" s="1"/>
  <c r="C109" i="1"/>
  <c r="I109" i="1" s="1"/>
  <c r="N61" i="1" l="1"/>
  <c r="O61" i="1" s="1"/>
  <c r="D109" i="1"/>
  <c r="E109" i="1" s="1"/>
  <c r="G109" i="1" s="1"/>
  <c r="C110" i="1"/>
  <c r="I110" i="1" s="1"/>
  <c r="Q61" i="1" l="1"/>
  <c r="M62" i="1"/>
  <c r="S62" i="1" s="1"/>
  <c r="D110" i="1"/>
  <c r="E110" i="1" s="1"/>
  <c r="G110" i="1" s="1"/>
  <c r="C111" i="1"/>
  <c r="I111" i="1" s="1"/>
  <c r="N62" i="1" l="1"/>
  <c r="O62" i="1" s="1"/>
  <c r="D111" i="1"/>
  <c r="E111" i="1" s="1"/>
  <c r="G111" i="1" s="1"/>
  <c r="C112" i="1"/>
  <c r="I112" i="1" s="1"/>
  <c r="Q62" i="1" l="1"/>
  <c r="M63" i="1"/>
  <c r="S63" i="1" s="1"/>
  <c r="D112" i="1"/>
  <c r="E112" i="1" s="1"/>
  <c r="G112" i="1" s="1"/>
  <c r="C113" i="1"/>
  <c r="I113" i="1" s="1"/>
  <c r="N63" i="1" l="1"/>
  <c r="O63" i="1" s="1"/>
  <c r="D113" i="1"/>
  <c r="E113" i="1" s="1"/>
  <c r="G113" i="1" s="1"/>
  <c r="C114" i="1"/>
  <c r="I114" i="1" s="1"/>
  <c r="Q63" i="1" l="1"/>
  <c r="M64" i="1"/>
  <c r="S64" i="1" s="1"/>
  <c r="D114" i="1"/>
  <c r="E114" i="1" s="1"/>
  <c r="G114" i="1" s="1"/>
  <c r="C115" i="1"/>
  <c r="I115" i="1" s="1"/>
  <c r="N64" i="1" l="1"/>
  <c r="O64" i="1" s="1"/>
  <c r="D115" i="1"/>
  <c r="E115" i="1" s="1"/>
  <c r="G115" i="1" s="1"/>
  <c r="C116" i="1"/>
  <c r="I116" i="1" s="1"/>
  <c r="Q64" i="1" l="1"/>
  <c r="M65" i="1"/>
  <c r="S65" i="1" s="1"/>
  <c r="D116" i="1"/>
  <c r="E116" i="1" s="1"/>
  <c r="G116" i="1" s="1"/>
  <c r="C117" i="1"/>
  <c r="I117" i="1" s="1"/>
  <c r="N65" i="1" l="1"/>
  <c r="O65" i="1" s="1"/>
  <c r="D117" i="1"/>
  <c r="E117" i="1" s="1"/>
  <c r="G117" i="1" s="1"/>
  <c r="C118" i="1"/>
  <c r="I118" i="1" s="1"/>
  <c r="Q65" i="1" l="1"/>
  <c r="M66" i="1"/>
  <c r="S66" i="1" s="1"/>
  <c r="D118" i="1"/>
  <c r="E118" i="1" s="1"/>
  <c r="G118" i="1" s="1"/>
  <c r="C119" i="1"/>
  <c r="I119" i="1" s="1"/>
  <c r="N66" i="1" l="1"/>
  <c r="O66" i="1" s="1"/>
  <c r="D119" i="1"/>
  <c r="E119" i="1" s="1"/>
  <c r="G119" i="1" s="1"/>
  <c r="C120" i="1"/>
  <c r="I120" i="1" s="1"/>
  <c r="Q66" i="1" l="1"/>
  <c r="M67" i="1"/>
  <c r="S67" i="1" s="1"/>
  <c r="D120" i="1"/>
  <c r="E120" i="1" s="1"/>
  <c r="G120" i="1" s="1"/>
  <c r="C121" i="1"/>
  <c r="I121" i="1" s="1"/>
  <c r="N67" i="1" l="1"/>
  <c r="O67" i="1" s="1"/>
  <c r="D121" i="1"/>
  <c r="E121" i="1" s="1"/>
  <c r="G121" i="1" s="1"/>
  <c r="C122" i="1"/>
  <c r="I122" i="1" s="1"/>
  <c r="Q67" i="1" l="1"/>
  <c r="M68" i="1"/>
  <c r="S68" i="1" s="1"/>
  <c r="D122" i="1"/>
  <c r="E122" i="1" s="1"/>
  <c r="G122" i="1" s="1"/>
  <c r="C123" i="1"/>
  <c r="I123" i="1" s="1"/>
  <c r="N68" i="1" l="1"/>
  <c r="O68" i="1" s="1"/>
  <c r="D123" i="1"/>
  <c r="E123" i="1" s="1"/>
  <c r="G123" i="1" s="1"/>
  <c r="C124" i="1"/>
  <c r="I124" i="1" s="1"/>
  <c r="Q68" i="1" l="1"/>
  <c r="M69" i="1"/>
  <c r="S69" i="1" s="1"/>
  <c r="D124" i="1"/>
  <c r="E124" i="1" s="1"/>
  <c r="G124" i="1" s="1"/>
  <c r="C125" i="1"/>
  <c r="I125" i="1" s="1"/>
  <c r="N69" i="1" l="1"/>
  <c r="O69" i="1" s="1"/>
  <c r="D125" i="1"/>
  <c r="E125" i="1" s="1"/>
  <c r="G125" i="1" s="1"/>
  <c r="C126" i="1"/>
  <c r="I126" i="1" s="1"/>
  <c r="Q69" i="1" l="1"/>
  <c r="M70" i="1"/>
  <c r="S70" i="1" s="1"/>
  <c r="D126" i="1"/>
  <c r="E126" i="1" s="1"/>
  <c r="G126" i="1" s="1"/>
  <c r="C127" i="1"/>
  <c r="I127" i="1" s="1"/>
  <c r="N70" i="1" l="1"/>
  <c r="O70" i="1" s="1"/>
  <c r="D127" i="1"/>
  <c r="E127" i="1" s="1"/>
  <c r="G127" i="1" s="1"/>
  <c r="C128" i="1"/>
  <c r="I128" i="1" s="1"/>
  <c r="Q70" i="1" l="1"/>
  <c r="M71" i="1"/>
  <c r="S71" i="1" s="1"/>
  <c r="D128" i="1"/>
  <c r="E128" i="1" s="1"/>
  <c r="G128" i="1" s="1"/>
  <c r="C129" i="1"/>
  <c r="I129" i="1" s="1"/>
  <c r="N71" i="1" l="1"/>
  <c r="O71" i="1" s="1"/>
  <c r="D129" i="1"/>
  <c r="E129" i="1" s="1"/>
  <c r="G129" i="1" s="1"/>
  <c r="C130" i="1"/>
  <c r="I130" i="1" s="1"/>
  <c r="Q71" i="1" l="1"/>
  <c r="M72" i="1"/>
  <c r="S72" i="1" s="1"/>
  <c r="D130" i="1"/>
  <c r="E130" i="1" s="1"/>
  <c r="G130" i="1" s="1"/>
  <c r="C131" i="1"/>
  <c r="I131" i="1" s="1"/>
  <c r="N72" i="1" l="1"/>
  <c r="O72" i="1" s="1"/>
  <c r="D131" i="1"/>
  <c r="E131" i="1" s="1"/>
  <c r="G131" i="1" s="1"/>
  <c r="C132" i="1"/>
  <c r="I132" i="1" s="1"/>
  <c r="Q72" i="1" l="1"/>
  <c r="M73" i="1"/>
  <c r="S73" i="1" s="1"/>
  <c r="D132" i="1"/>
  <c r="E132" i="1" s="1"/>
  <c r="G132" i="1" s="1"/>
  <c r="C133" i="1"/>
  <c r="I133" i="1" s="1"/>
  <c r="N73" i="1" l="1"/>
  <c r="O73" i="1" s="1"/>
  <c r="D133" i="1"/>
  <c r="E133" i="1" s="1"/>
  <c r="G133" i="1" s="1"/>
  <c r="C134" i="1"/>
  <c r="I134" i="1" s="1"/>
  <c r="Q73" i="1" l="1"/>
  <c r="M74" i="1"/>
  <c r="S74" i="1" s="1"/>
  <c r="D134" i="1"/>
  <c r="E134" i="1" s="1"/>
  <c r="G134" i="1" s="1"/>
  <c r="C135" i="1"/>
  <c r="I135" i="1" s="1"/>
  <c r="N74" i="1" l="1"/>
  <c r="O74" i="1" s="1"/>
  <c r="D135" i="1"/>
  <c r="E135" i="1" s="1"/>
  <c r="G135" i="1" s="1"/>
  <c r="C136" i="1"/>
  <c r="I136" i="1" s="1"/>
  <c r="Q74" i="1" l="1"/>
  <c r="M75" i="1"/>
  <c r="S75" i="1" s="1"/>
  <c r="D136" i="1"/>
  <c r="E136" i="1" s="1"/>
  <c r="G136" i="1" s="1"/>
  <c r="C137" i="1"/>
  <c r="I137" i="1" s="1"/>
  <c r="N75" i="1" l="1"/>
  <c r="O75" i="1" s="1"/>
  <c r="D137" i="1"/>
  <c r="E137" i="1" s="1"/>
  <c r="G137" i="1" s="1"/>
  <c r="C138" i="1"/>
  <c r="I138" i="1" s="1"/>
  <c r="Q75" i="1" l="1"/>
  <c r="M76" i="1"/>
  <c r="S76" i="1" s="1"/>
  <c r="D138" i="1"/>
  <c r="E138" i="1" s="1"/>
  <c r="G138" i="1" s="1"/>
  <c r="C139" i="1"/>
  <c r="I139" i="1" s="1"/>
  <c r="N76" i="1" l="1"/>
  <c r="O76" i="1" s="1"/>
  <c r="D139" i="1"/>
  <c r="E139" i="1" s="1"/>
  <c r="G139" i="1" s="1"/>
  <c r="C140" i="1"/>
  <c r="I140" i="1" s="1"/>
  <c r="Q76" i="1" l="1"/>
  <c r="M77" i="1"/>
  <c r="S77" i="1" s="1"/>
  <c r="D140" i="1"/>
  <c r="E140" i="1" s="1"/>
  <c r="G140" i="1" s="1"/>
  <c r="C141" i="1"/>
  <c r="I141" i="1" s="1"/>
  <c r="N77" i="1" l="1"/>
  <c r="O77" i="1" s="1"/>
  <c r="D141" i="1"/>
  <c r="E141" i="1" s="1"/>
  <c r="G141" i="1" s="1"/>
  <c r="C142" i="1"/>
  <c r="I142" i="1" s="1"/>
  <c r="Q77" i="1" l="1"/>
  <c r="M78" i="1"/>
  <c r="S78" i="1" s="1"/>
  <c r="D142" i="1"/>
  <c r="E142" i="1" s="1"/>
  <c r="G142" i="1" s="1"/>
  <c r="C143" i="1"/>
  <c r="I143" i="1" s="1"/>
  <c r="N78" i="1" l="1"/>
  <c r="O78" i="1" s="1"/>
  <c r="D143" i="1"/>
  <c r="E143" i="1" s="1"/>
  <c r="G143" i="1" s="1"/>
  <c r="C144" i="1"/>
  <c r="I144" i="1" s="1"/>
  <c r="Q78" i="1" l="1"/>
  <c r="M79" i="1"/>
  <c r="S79" i="1" s="1"/>
  <c r="D144" i="1"/>
  <c r="E144" i="1" s="1"/>
  <c r="G144" i="1" s="1"/>
  <c r="C145" i="1"/>
  <c r="I145" i="1" s="1"/>
  <c r="N79" i="1" l="1"/>
  <c r="O79" i="1" s="1"/>
  <c r="D145" i="1"/>
  <c r="E145" i="1" s="1"/>
  <c r="G145" i="1" s="1"/>
  <c r="C146" i="1"/>
  <c r="I146" i="1" s="1"/>
  <c r="Q79" i="1" l="1"/>
  <c r="M80" i="1"/>
  <c r="S80" i="1" s="1"/>
  <c r="D146" i="1"/>
  <c r="E146" i="1" s="1"/>
  <c r="G146" i="1" s="1"/>
  <c r="C147" i="1"/>
  <c r="I147" i="1" s="1"/>
  <c r="N80" i="1" l="1"/>
  <c r="O80" i="1" s="1"/>
  <c r="D147" i="1"/>
  <c r="E147" i="1" s="1"/>
  <c r="G147" i="1" s="1"/>
  <c r="C148" i="1"/>
  <c r="I148" i="1" s="1"/>
  <c r="Q80" i="1" l="1"/>
  <c r="M81" i="1"/>
  <c r="S81" i="1" s="1"/>
  <c r="D148" i="1"/>
  <c r="E148" i="1" s="1"/>
  <c r="G148" i="1" s="1"/>
  <c r="C149" i="1"/>
  <c r="I149" i="1" s="1"/>
  <c r="N81" i="1" l="1"/>
  <c r="O81" i="1" s="1"/>
  <c r="D149" i="1"/>
  <c r="E149" i="1" s="1"/>
  <c r="G149" i="1" s="1"/>
  <c r="C150" i="1"/>
  <c r="I150" i="1" s="1"/>
  <c r="Q81" i="1" l="1"/>
  <c r="M82" i="1"/>
  <c r="S82" i="1" s="1"/>
  <c r="D150" i="1"/>
  <c r="E150" i="1" s="1"/>
  <c r="G150" i="1" s="1"/>
  <c r="C151" i="1"/>
  <c r="I151" i="1" s="1"/>
  <c r="N82" i="1" l="1"/>
  <c r="O82" i="1" s="1"/>
  <c r="D151" i="1"/>
  <c r="E151" i="1" s="1"/>
  <c r="G151" i="1" s="1"/>
  <c r="C152" i="1"/>
  <c r="I152" i="1" s="1"/>
  <c r="Q82" i="1" l="1"/>
  <c r="M83" i="1"/>
  <c r="S83" i="1" s="1"/>
  <c r="D152" i="1"/>
  <c r="E152" i="1" s="1"/>
  <c r="G152" i="1" s="1"/>
  <c r="C153" i="1"/>
  <c r="I153" i="1" s="1"/>
  <c r="N83" i="1" l="1"/>
  <c r="O83" i="1" s="1"/>
  <c r="D153" i="1"/>
  <c r="E153" i="1" s="1"/>
  <c r="G153" i="1" s="1"/>
  <c r="C154" i="1"/>
  <c r="I154" i="1" s="1"/>
  <c r="Q83" i="1" l="1"/>
  <c r="M84" i="1"/>
  <c r="S84" i="1" s="1"/>
  <c r="D154" i="1"/>
  <c r="E154" i="1" s="1"/>
  <c r="G154" i="1" s="1"/>
  <c r="C155" i="1"/>
  <c r="I155" i="1" s="1"/>
  <c r="N84" i="1" l="1"/>
  <c r="O84" i="1" s="1"/>
  <c r="D155" i="1"/>
  <c r="E155" i="1" s="1"/>
  <c r="G155" i="1" s="1"/>
  <c r="C156" i="1"/>
  <c r="I156" i="1" s="1"/>
  <c r="Q84" i="1" l="1"/>
  <c r="M85" i="1"/>
  <c r="S85" i="1" s="1"/>
  <c r="D156" i="1"/>
  <c r="E156" i="1" s="1"/>
  <c r="G156" i="1" s="1"/>
  <c r="C157" i="1"/>
  <c r="I157" i="1" s="1"/>
  <c r="N85" i="1" l="1"/>
  <c r="O85" i="1" s="1"/>
  <c r="D157" i="1"/>
  <c r="E157" i="1" s="1"/>
  <c r="G157" i="1" s="1"/>
  <c r="C158" i="1"/>
  <c r="I158" i="1" s="1"/>
  <c r="Q85" i="1" l="1"/>
  <c r="M86" i="1"/>
  <c r="S86" i="1" s="1"/>
  <c r="D158" i="1"/>
  <c r="E158" i="1" s="1"/>
  <c r="G158" i="1" s="1"/>
  <c r="C159" i="1"/>
  <c r="I159" i="1" s="1"/>
  <c r="N86" i="1" l="1"/>
  <c r="O86" i="1" s="1"/>
  <c r="D159" i="1"/>
  <c r="E159" i="1" s="1"/>
  <c r="G159" i="1" s="1"/>
  <c r="C160" i="1"/>
  <c r="I160" i="1" s="1"/>
  <c r="Q86" i="1" l="1"/>
  <c r="M87" i="1"/>
  <c r="S87" i="1" s="1"/>
  <c r="D160" i="1"/>
  <c r="E160" i="1" s="1"/>
  <c r="G160" i="1" s="1"/>
  <c r="C161" i="1"/>
  <c r="I161" i="1" s="1"/>
  <c r="N87" i="1" l="1"/>
  <c r="O87" i="1" s="1"/>
  <c r="D161" i="1"/>
  <c r="E161" i="1" s="1"/>
  <c r="G161" i="1" s="1"/>
  <c r="C162" i="1"/>
  <c r="I162" i="1" s="1"/>
  <c r="Q87" i="1" l="1"/>
  <c r="M88" i="1"/>
  <c r="S88" i="1" s="1"/>
  <c r="D162" i="1"/>
  <c r="E162" i="1" s="1"/>
  <c r="G162" i="1" s="1"/>
  <c r="C163" i="1"/>
  <c r="I163" i="1" s="1"/>
  <c r="N88" i="1" l="1"/>
  <c r="O88" i="1" s="1"/>
  <c r="D163" i="1"/>
  <c r="E163" i="1" s="1"/>
  <c r="G163" i="1" s="1"/>
  <c r="C164" i="1"/>
  <c r="I164" i="1" s="1"/>
  <c r="Q88" i="1" l="1"/>
  <c r="M89" i="1"/>
  <c r="S89" i="1" s="1"/>
  <c r="D164" i="1"/>
  <c r="E164" i="1" s="1"/>
  <c r="G164" i="1" s="1"/>
  <c r="C165" i="1"/>
  <c r="I165" i="1" s="1"/>
  <c r="N89" i="1" l="1"/>
  <c r="O89" i="1" s="1"/>
  <c r="D165" i="1"/>
  <c r="E165" i="1" s="1"/>
  <c r="G165" i="1" s="1"/>
  <c r="C166" i="1"/>
  <c r="I166" i="1" s="1"/>
  <c r="Q89" i="1" l="1"/>
  <c r="M90" i="1"/>
  <c r="S90" i="1" s="1"/>
  <c r="D166" i="1"/>
  <c r="E166" i="1" s="1"/>
  <c r="G166" i="1" s="1"/>
  <c r="C167" i="1"/>
  <c r="I167" i="1" s="1"/>
  <c r="N90" i="1" l="1"/>
  <c r="O90" i="1" s="1"/>
  <c r="D167" i="1"/>
  <c r="E167" i="1" s="1"/>
  <c r="G167" i="1" s="1"/>
  <c r="C168" i="1"/>
  <c r="I168" i="1" s="1"/>
  <c r="Q90" i="1" l="1"/>
  <c r="M91" i="1"/>
  <c r="S91" i="1" s="1"/>
  <c r="D168" i="1"/>
  <c r="E168" i="1" s="1"/>
  <c r="G168" i="1" s="1"/>
  <c r="C169" i="1"/>
  <c r="I169" i="1" s="1"/>
  <c r="N91" i="1" l="1"/>
  <c r="O91" i="1" s="1"/>
  <c r="D169" i="1"/>
  <c r="E169" i="1" s="1"/>
  <c r="G169" i="1" s="1"/>
  <c r="C170" i="1"/>
  <c r="I170" i="1" s="1"/>
  <c r="Q91" i="1" l="1"/>
  <c r="M92" i="1"/>
  <c r="S92" i="1" s="1"/>
  <c r="D170" i="1"/>
  <c r="E170" i="1" s="1"/>
  <c r="G170" i="1" s="1"/>
  <c r="C171" i="1"/>
  <c r="I171" i="1" s="1"/>
  <c r="N92" i="1" l="1"/>
  <c r="O92" i="1" s="1"/>
  <c r="D171" i="1"/>
  <c r="E171" i="1" s="1"/>
  <c r="G171" i="1" s="1"/>
  <c r="C172" i="1"/>
  <c r="I172" i="1" s="1"/>
  <c r="Q92" i="1" l="1"/>
  <c r="M93" i="1"/>
  <c r="S93" i="1" s="1"/>
  <c r="D172" i="1"/>
  <c r="E172" i="1" s="1"/>
  <c r="G172" i="1" s="1"/>
  <c r="C173" i="1"/>
  <c r="I173" i="1" s="1"/>
  <c r="N93" i="1" l="1"/>
  <c r="O93" i="1" s="1"/>
  <c r="D173" i="1"/>
  <c r="E173" i="1" s="1"/>
  <c r="G173" i="1" s="1"/>
  <c r="C174" i="1"/>
  <c r="I174" i="1" s="1"/>
  <c r="Q93" i="1" l="1"/>
  <c r="M94" i="1"/>
  <c r="S94" i="1" s="1"/>
  <c r="D174" i="1"/>
  <c r="E174" i="1" s="1"/>
  <c r="G174" i="1" s="1"/>
  <c r="C175" i="1"/>
  <c r="I175" i="1" s="1"/>
  <c r="N94" i="1" l="1"/>
  <c r="O94" i="1" s="1"/>
  <c r="D175" i="1"/>
  <c r="E175" i="1" s="1"/>
  <c r="G175" i="1" s="1"/>
  <c r="C176" i="1"/>
  <c r="I176" i="1" s="1"/>
  <c r="Q94" i="1" l="1"/>
  <c r="M95" i="1"/>
  <c r="S95" i="1" s="1"/>
  <c r="D176" i="1"/>
  <c r="E176" i="1" s="1"/>
  <c r="G176" i="1" s="1"/>
  <c r="C177" i="1"/>
  <c r="I177" i="1" s="1"/>
  <c r="N95" i="1" l="1"/>
  <c r="O95" i="1" s="1"/>
  <c r="D177" i="1"/>
  <c r="E177" i="1" s="1"/>
  <c r="G177" i="1" s="1"/>
  <c r="C178" i="1"/>
  <c r="I178" i="1" s="1"/>
  <c r="Q95" i="1" l="1"/>
  <c r="M96" i="1"/>
  <c r="S96" i="1" s="1"/>
  <c r="D178" i="1"/>
  <c r="E178" i="1" s="1"/>
  <c r="G178" i="1" s="1"/>
  <c r="C179" i="1"/>
  <c r="I179" i="1" s="1"/>
  <c r="N96" i="1" l="1"/>
  <c r="O96" i="1" s="1"/>
  <c r="D179" i="1"/>
  <c r="E179" i="1" s="1"/>
  <c r="G179" i="1" s="1"/>
  <c r="C180" i="1"/>
  <c r="I180" i="1" s="1"/>
  <c r="Q96" i="1" l="1"/>
  <c r="M97" i="1"/>
  <c r="S97" i="1" s="1"/>
  <c r="D180" i="1"/>
  <c r="E180" i="1" s="1"/>
  <c r="G180" i="1" s="1"/>
  <c r="C181" i="1"/>
  <c r="I181" i="1" s="1"/>
  <c r="N97" i="1" l="1"/>
  <c r="O97" i="1" s="1"/>
  <c r="D181" i="1"/>
  <c r="E181" i="1" s="1"/>
  <c r="G181" i="1" s="1"/>
  <c r="C182" i="1"/>
  <c r="I182" i="1" s="1"/>
  <c r="Q97" i="1" l="1"/>
  <c r="M98" i="1"/>
  <c r="S98" i="1" s="1"/>
  <c r="D182" i="1"/>
  <c r="E182" i="1" s="1"/>
  <c r="G182" i="1" s="1"/>
  <c r="C183" i="1"/>
  <c r="I183" i="1" s="1"/>
  <c r="N98" i="1" l="1"/>
  <c r="O98" i="1" s="1"/>
  <c r="D183" i="1"/>
  <c r="E183" i="1" s="1"/>
  <c r="G183" i="1" s="1"/>
  <c r="C184" i="1"/>
  <c r="I184" i="1" s="1"/>
  <c r="Q98" i="1" l="1"/>
  <c r="M99" i="1"/>
  <c r="S99" i="1" s="1"/>
  <c r="D184" i="1"/>
  <c r="E184" i="1" s="1"/>
  <c r="G184" i="1" s="1"/>
  <c r="C185" i="1"/>
  <c r="I185" i="1" s="1"/>
  <c r="N99" i="1" l="1"/>
  <c r="O99" i="1" s="1"/>
  <c r="D185" i="1"/>
  <c r="E185" i="1" s="1"/>
  <c r="G185" i="1" s="1"/>
  <c r="C186" i="1"/>
  <c r="I186" i="1" s="1"/>
  <c r="Q99" i="1" l="1"/>
  <c r="M100" i="1"/>
  <c r="S100" i="1" s="1"/>
  <c r="D186" i="1"/>
  <c r="E186" i="1" s="1"/>
  <c r="G186" i="1" s="1"/>
  <c r="C187" i="1"/>
  <c r="I187" i="1" s="1"/>
  <c r="N100" i="1" l="1"/>
  <c r="O100" i="1" s="1"/>
  <c r="D187" i="1"/>
  <c r="E187" i="1" s="1"/>
  <c r="G187" i="1" s="1"/>
  <c r="C188" i="1"/>
  <c r="I188" i="1" s="1"/>
  <c r="Q100" i="1" l="1"/>
  <c r="M101" i="1"/>
  <c r="S101" i="1" s="1"/>
  <c r="D188" i="1"/>
  <c r="E188" i="1" s="1"/>
  <c r="G188" i="1" s="1"/>
  <c r="C189" i="1"/>
  <c r="I189" i="1" s="1"/>
  <c r="N101" i="1" l="1"/>
  <c r="O101" i="1" s="1"/>
  <c r="D189" i="1"/>
  <c r="E189" i="1" s="1"/>
  <c r="G189" i="1" s="1"/>
  <c r="C190" i="1"/>
  <c r="I190" i="1" s="1"/>
  <c r="Q101" i="1" l="1"/>
  <c r="M102" i="1"/>
  <c r="S102" i="1" s="1"/>
  <c r="D190" i="1"/>
  <c r="E190" i="1" s="1"/>
  <c r="G190" i="1" s="1"/>
  <c r="C191" i="1"/>
  <c r="I191" i="1" s="1"/>
  <c r="N102" i="1" l="1"/>
  <c r="O102" i="1" s="1"/>
  <c r="D191" i="1"/>
  <c r="E191" i="1" s="1"/>
  <c r="G191" i="1" s="1"/>
  <c r="C192" i="1"/>
  <c r="I192" i="1" s="1"/>
  <c r="Q102" i="1" l="1"/>
  <c r="M103" i="1"/>
  <c r="S103" i="1" s="1"/>
  <c r="D192" i="1"/>
  <c r="E192" i="1" s="1"/>
  <c r="G192" i="1" s="1"/>
  <c r="C193" i="1"/>
  <c r="I193" i="1" s="1"/>
  <c r="N103" i="1" l="1"/>
  <c r="O103" i="1" s="1"/>
  <c r="D193" i="1"/>
  <c r="E193" i="1" s="1"/>
  <c r="G193" i="1" s="1"/>
  <c r="C194" i="1"/>
  <c r="I194" i="1" s="1"/>
  <c r="Q103" i="1" l="1"/>
  <c r="M104" i="1"/>
  <c r="S104" i="1" s="1"/>
  <c r="D194" i="1"/>
  <c r="E194" i="1" s="1"/>
  <c r="G194" i="1" s="1"/>
  <c r="C195" i="1"/>
  <c r="I195" i="1" s="1"/>
  <c r="N104" i="1" l="1"/>
  <c r="O104" i="1" s="1"/>
  <c r="D195" i="1"/>
  <c r="E195" i="1" s="1"/>
  <c r="G195" i="1" s="1"/>
  <c r="C196" i="1"/>
  <c r="I196" i="1" s="1"/>
  <c r="Q104" i="1" l="1"/>
  <c r="M105" i="1"/>
  <c r="S105" i="1" s="1"/>
  <c r="D196" i="1"/>
  <c r="E196" i="1" s="1"/>
  <c r="G196" i="1" s="1"/>
  <c r="C197" i="1"/>
  <c r="I197" i="1" s="1"/>
  <c r="N105" i="1" l="1"/>
  <c r="O105" i="1" s="1"/>
  <c r="D197" i="1"/>
  <c r="E197" i="1" s="1"/>
  <c r="G197" i="1" s="1"/>
  <c r="C198" i="1"/>
  <c r="I198" i="1" s="1"/>
  <c r="Q105" i="1" l="1"/>
  <c r="M106" i="1"/>
  <c r="S106" i="1" s="1"/>
  <c r="D198" i="1"/>
  <c r="E198" i="1" s="1"/>
  <c r="G198" i="1" s="1"/>
  <c r="C199" i="1"/>
  <c r="I199" i="1" s="1"/>
  <c r="N106" i="1" l="1"/>
  <c r="O106" i="1" s="1"/>
  <c r="D199" i="1"/>
  <c r="E199" i="1" s="1"/>
  <c r="G199" i="1" s="1"/>
  <c r="C200" i="1"/>
  <c r="I200" i="1" s="1"/>
  <c r="Q106" i="1" l="1"/>
  <c r="M107" i="1"/>
  <c r="S107" i="1" s="1"/>
  <c r="D200" i="1"/>
  <c r="E200" i="1" s="1"/>
  <c r="G200" i="1" s="1"/>
  <c r="C201" i="1"/>
  <c r="I201" i="1" s="1"/>
  <c r="N107" i="1" l="1"/>
  <c r="O107" i="1" s="1"/>
  <c r="D201" i="1"/>
  <c r="E201" i="1" s="1"/>
  <c r="G201" i="1" s="1"/>
  <c r="C202" i="1"/>
  <c r="I202" i="1" s="1"/>
  <c r="Q107" i="1" l="1"/>
  <c r="M108" i="1"/>
  <c r="S108" i="1" s="1"/>
  <c r="D202" i="1"/>
  <c r="E202" i="1" s="1"/>
  <c r="G202" i="1" s="1"/>
  <c r="C203" i="1"/>
  <c r="I203" i="1" s="1"/>
  <c r="N108" i="1" l="1"/>
  <c r="O108" i="1" s="1"/>
  <c r="D203" i="1"/>
  <c r="E203" i="1" s="1"/>
  <c r="G203" i="1" s="1"/>
  <c r="C204" i="1"/>
  <c r="I204" i="1" s="1"/>
  <c r="Q108" i="1" l="1"/>
  <c r="M109" i="1"/>
  <c r="S109" i="1" s="1"/>
  <c r="D204" i="1"/>
  <c r="E204" i="1" s="1"/>
  <c r="G204" i="1" s="1"/>
  <c r="C205" i="1"/>
  <c r="I205" i="1" s="1"/>
  <c r="N109" i="1" l="1"/>
  <c r="O109" i="1" s="1"/>
  <c r="D205" i="1"/>
  <c r="E205" i="1" s="1"/>
  <c r="G205" i="1" s="1"/>
  <c r="C206" i="1"/>
  <c r="I206" i="1" s="1"/>
  <c r="Q109" i="1" l="1"/>
  <c r="M110" i="1"/>
  <c r="S110" i="1" s="1"/>
  <c r="D206" i="1"/>
  <c r="E206" i="1" s="1"/>
  <c r="G206" i="1" s="1"/>
  <c r="C207" i="1"/>
  <c r="I207" i="1" s="1"/>
  <c r="N110" i="1" l="1"/>
  <c r="O110" i="1" s="1"/>
  <c r="D207" i="1"/>
  <c r="E207" i="1" s="1"/>
  <c r="G207" i="1" s="1"/>
  <c r="C208" i="1"/>
  <c r="I208" i="1" s="1"/>
  <c r="Q110" i="1" l="1"/>
  <c r="M111" i="1"/>
  <c r="S111" i="1" s="1"/>
  <c r="D208" i="1"/>
  <c r="E208" i="1" s="1"/>
  <c r="G208" i="1" s="1"/>
  <c r="C209" i="1"/>
  <c r="I209" i="1" s="1"/>
  <c r="N111" i="1" l="1"/>
  <c r="O111" i="1" s="1"/>
  <c r="D209" i="1"/>
  <c r="E209" i="1" s="1"/>
  <c r="G209" i="1" s="1"/>
  <c r="C210" i="1"/>
  <c r="I210" i="1" s="1"/>
  <c r="Q111" i="1" l="1"/>
  <c r="M112" i="1"/>
  <c r="S112" i="1" s="1"/>
  <c r="D210" i="1"/>
  <c r="E210" i="1" s="1"/>
  <c r="G210" i="1" s="1"/>
  <c r="C211" i="1"/>
  <c r="I211" i="1" s="1"/>
  <c r="N112" i="1" l="1"/>
  <c r="O112" i="1" s="1"/>
  <c r="D211" i="1"/>
  <c r="E211" i="1" s="1"/>
  <c r="G211" i="1" s="1"/>
  <c r="C212" i="1"/>
  <c r="I212" i="1" s="1"/>
  <c r="Q112" i="1" l="1"/>
  <c r="M113" i="1"/>
  <c r="S113" i="1" s="1"/>
  <c r="D212" i="1"/>
  <c r="E212" i="1" s="1"/>
  <c r="G212" i="1" s="1"/>
  <c r="C213" i="1"/>
  <c r="I213" i="1" s="1"/>
  <c r="N113" i="1" l="1"/>
  <c r="O113" i="1" s="1"/>
  <c r="D213" i="1"/>
  <c r="E213" i="1" s="1"/>
  <c r="G213" i="1" s="1"/>
  <c r="C214" i="1"/>
  <c r="I214" i="1" s="1"/>
  <c r="Q113" i="1" l="1"/>
  <c r="M114" i="1"/>
  <c r="S114" i="1" s="1"/>
  <c r="D214" i="1"/>
  <c r="E214" i="1" s="1"/>
  <c r="G214" i="1" s="1"/>
  <c r="C215" i="1"/>
  <c r="I215" i="1" s="1"/>
  <c r="N114" i="1" l="1"/>
  <c r="O114" i="1" s="1"/>
  <c r="D215" i="1"/>
  <c r="E215" i="1" s="1"/>
  <c r="G215" i="1" s="1"/>
  <c r="C216" i="1"/>
  <c r="I216" i="1" s="1"/>
  <c r="Q114" i="1" l="1"/>
  <c r="M115" i="1"/>
  <c r="S115" i="1" s="1"/>
  <c r="D216" i="1"/>
  <c r="E216" i="1" s="1"/>
  <c r="G216" i="1" s="1"/>
  <c r="C217" i="1"/>
  <c r="I217" i="1" s="1"/>
  <c r="N115" i="1" l="1"/>
  <c r="O115" i="1" s="1"/>
  <c r="D217" i="1"/>
  <c r="E217" i="1" s="1"/>
  <c r="G217" i="1" s="1"/>
  <c r="C218" i="1"/>
  <c r="I218" i="1" s="1"/>
  <c r="Q115" i="1" l="1"/>
  <c r="M116" i="1"/>
  <c r="S116" i="1" s="1"/>
  <c r="D218" i="1"/>
  <c r="E218" i="1" s="1"/>
  <c r="G218" i="1" s="1"/>
  <c r="C219" i="1"/>
  <c r="I219" i="1" s="1"/>
  <c r="N116" i="1" l="1"/>
  <c r="O116" i="1" s="1"/>
  <c r="D219" i="1"/>
  <c r="E219" i="1" s="1"/>
  <c r="G219" i="1" s="1"/>
  <c r="C220" i="1"/>
  <c r="I220" i="1" s="1"/>
  <c r="Q116" i="1" l="1"/>
  <c r="M117" i="1"/>
  <c r="S117" i="1" s="1"/>
  <c r="D220" i="1"/>
  <c r="E220" i="1" s="1"/>
  <c r="G220" i="1" s="1"/>
  <c r="C221" i="1"/>
  <c r="I221" i="1" s="1"/>
  <c r="N117" i="1" l="1"/>
  <c r="O117" i="1" s="1"/>
  <c r="D221" i="1"/>
  <c r="E221" i="1" s="1"/>
  <c r="G221" i="1" s="1"/>
  <c r="C222" i="1"/>
  <c r="I222" i="1" s="1"/>
  <c r="Q117" i="1" l="1"/>
  <c r="M118" i="1"/>
  <c r="S118" i="1" s="1"/>
  <c r="D222" i="1"/>
  <c r="E222" i="1" s="1"/>
  <c r="G222" i="1" s="1"/>
  <c r="C223" i="1"/>
  <c r="I223" i="1" s="1"/>
  <c r="N118" i="1" l="1"/>
  <c r="O118" i="1" s="1"/>
  <c r="D223" i="1"/>
  <c r="E223" i="1" s="1"/>
  <c r="G223" i="1" s="1"/>
  <c r="C224" i="1"/>
  <c r="I224" i="1" s="1"/>
  <c r="Q118" i="1" l="1"/>
  <c r="M119" i="1"/>
  <c r="S119" i="1" s="1"/>
  <c r="D224" i="1"/>
  <c r="E224" i="1" s="1"/>
  <c r="G224" i="1" s="1"/>
  <c r="C225" i="1"/>
  <c r="I225" i="1" s="1"/>
  <c r="N119" i="1" l="1"/>
  <c r="O119" i="1" s="1"/>
  <c r="D225" i="1"/>
  <c r="E225" i="1" s="1"/>
  <c r="G225" i="1" s="1"/>
  <c r="C226" i="1"/>
  <c r="I226" i="1" s="1"/>
  <c r="Q119" i="1" l="1"/>
  <c r="M120" i="1"/>
  <c r="S120" i="1" s="1"/>
  <c r="D226" i="1"/>
  <c r="E226" i="1" s="1"/>
  <c r="G226" i="1" s="1"/>
  <c r="C227" i="1"/>
  <c r="I227" i="1" s="1"/>
  <c r="N120" i="1" l="1"/>
  <c r="O120" i="1" s="1"/>
  <c r="D227" i="1"/>
  <c r="E227" i="1" s="1"/>
  <c r="G227" i="1" s="1"/>
  <c r="C228" i="1"/>
  <c r="I228" i="1" s="1"/>
  <c r="Q120" i="1" l="1"/>
  <c r="M121" i="1"/>
  <c r="S121" i="1" s="1"/>
  <c r="D228" i="1"/>
  <c r="E228" i="1" s="1"/>
  <c r="G228" i="1" s="1"/>
  <c r="C229" i="1"/>
  <c r="I229" i="1" s="1"/>
  <c r="N121" i="1" l="1"/>
  <c r="O121" i="1" s="1"/>
  <c r="D229" i="1"/>
  <c r="E229" i="1" s="1"/>
  <c r="G229" i="1" s="1"/>
  <c r="C230" i="1"/>
  <c r="I230" i="1" s="1"/>
  <c r="Q121" i="1" l="1"/>
  <c r="M122" i="1"/>
  <c r="S122" i="1" s="1"/>
  <c r="D230" i="1"/>
  <c r="E230" i="1" s="1"/>
  <c r="G230" i="1" s="1"/>
  <c r="C231" i="1"/>
  <c r="I231" i="1" s="1"/>
  <c r="N122" i="1" l="1"/>
  <c r="O122" i="1" s="1"/>
  <c r="D231" i="1"/>
  <c r="E231" i="1" s="1"/>
  <c r="G231" i="1" s="1"/>
  <c r="C232" i="1"/>
  <c r="I232" i="1" s="1"/>
  <c r="Q122" i="1" l="1"/>
  <c r="M123" i="1"/>
  <c r="S123" i="1" s="1"/>
  <c r="D232" i="1"/>
  <c r="E232" i="1" s="1"/>
  <c r="G232" i="1" s="1"/>
  <c r="C233" i="1"/>
  <c r="I233" i="1" s="1"/>
  <c r="N123" i="1" l="1"/>
  <c r="O123" i="1" s="1"/>
  <c r="D233" i="1"/>
  <c r="E233" i="1" s="1"/>
  <c r="G233" i="1" s="1"/>
  <c r="C234" i="1"/>
  <c r="I234" i="1" s="1"/>
  <c r="Q123" i="1" l="1"/>
  <c r="M124" i="1"/>
  <c r="S124" i="1" s="1"/>
  <c r="D234" i="1"/>
  <c r="E234" i="1" s="1"/>
  <c r="G234" i="1" s="1"/>
  <c r="C235" i="1"/>
  <c r="I235" i="1" s="1"/>
  <c r="N124" i="1" l="1"/>
  <c r="O124" i="1" s="1"/>
  <c r="D235" i="1"/>
  <c r="E235" i="1" s="1"/>
  <c r="G235" i="1" s="1"/>
  <c r="C236" i="1"/>
  <c r="I236" i="1" s="1"/>
  <c r="Q124" i="1" l="1"/>
  <c r="M125" i="1"/>
  <c r="S125" i="1" s="1"/>
  <c r="D236" i="1"/>
  <c r="E236" i="1" s="1"/>
  <c r="G236" i="1" s="1"/>
  <c r="C237" i="1"/>
  <c r="I237" i="1" s="1"/>
  <c r="N125" i="1" l="1"/>
  <c r="O125" i="1" s="1"/>
  <c r="D237" i="1"/>
  <c r="E237" i="1" s="1"/>
  <c r="G237" i="1" s="1"/>
  <c r="C238" i="1"/>
  <c r="I238" i="1" s="1"/>
  <c r="Q125" i="1" l="1"/>
  <c r="M126" i="1"/>
  <c r="S126" i="1" s="1"/>
  <c r="D238" i="1"/>
  <c r="E238" i="1" s="1"/>
  <c r="G238" i="1" s="1"/>
  <c r="C239" i="1"/>
  <c r="I239" i="1" s="1"/>
  <c r="N126" i="1" l="1"/>
  <c r="O126" i="1" s="1"/>
  <c r="D239" i="1"/>
  <c r="E239" i="1" s="1"/>
  <c r="G239" i="1" s="1"/>
  <c r="C240" i="1"/>
  <c r="I240" i="1" s="1"/>
  <c r="Q126" i="1" l="1"/>
  <c r="M127" i="1"/>
  <c r="S127" i="1" s="1"/>
  <c r="D240" i="1"/>
  <c r="E240" i="1" s="1"/>
  <c r="G240" i="1" s="1"/>
  <c r="C241" i="1"/>
  <c r="I241" i="1" s="1"/>
  <c r="N127" i="1" l="1"/>
  <c r="O127" i="1" s="1"/>
  <c r="D241" i="1"/>
  <c r="E241" i="1" s="1"/>
  <c r="G241" i="1" s="1"/>
  <c r="C242" i="1"/>
  <c r="I242" i="1" s="1"/>
  <c r="Q127" i="1" l="1"/>
  <c r="M128" i="1"/>
  <c r="S128" i="1" s="1"/>
  <c r="D242" i="1"/>
  <c r="E242" i="1" s="1"/>
  <c r="G242" i="1" s="1"/>
  <c r="C243" i="1"/>
  <c r="I243" i="1" s="1"/>
  <c r="N128" i="1" l="1"/>
  <c r="O128" i="1" s="1"/>
  <c r="D243" i="1"/>
  <c r="E243" i="1" s="1"/>
  <c r="G243" i="1" s="1"/>
  <c r="C244" i="1"/>
  <c r="I244" i="1" s="1"/>
  <c r="Q128" i="1" l="1"/>
  <c r="M129" i="1"/>
  <c r="S129" i="1" s="1"/>
  <c r="D244" i="1"/>
  <c r="E244" i="1" s="1"/>
  <c r="G244" i="1" s="1"/>
  <c r="C245" i="1"/>
  <c r="I245" i="1" s="1"/>
  <c r="N129" i="1" l="1"/>
  <c r="O129" i="1" s="1"/>
  <c r="D245" i="1"/>
  <c r="E245" i="1" s="1"/>
  <c r="G245" i="1" s="1"/>
  <c r="C246" i="1"/>
  <c r="I246" i="1" s="1"/>
  <c r="Q129" i="1" l="1"/>
  <c r="M130" i="1"/>
  <c r="S130" i="1" s="1"/>
  <c r="D246" i="1"/>
  <c r="E246" i="1" s="1"/>
  <c r="G246" i="1" s="1"/>
  <c r="C247" i="1"/>
  <c r="I247" i="1" s="1"/>
  <c r="N130" i="1" l="1"/>
  <c r="O130" i="1" s="1"/>
  <c r="D247" i="1"/>
  <c r="E247" i="1" s="1"/>
  <c r="G247" i="1" s="1"/>
  <c r="C248" i="1"/>
  <c r="I248" i="1" s="1"/>
  <c r="Q130" i="1" l="1"/>
  <c r="M131" i="1"/>
  <c r="S131" i="1" s="1"/>
  <c r="D248" i="1"/>
  <c r="E248" i="1" s="1"/>
  <c r="G248" i="1" s="1"/>
  <c r="C249" i="1"/>
  <c r="I249" i="1" s="1"/>
  <c r="N131" i="1" l="1"/>
  <c r="O131" i="1" s="1"/>
  <c r="D249" i="1"/>
  <c r="E249" i="1" s="1"/>
  <c r="G249" i="1" s="1"/>
  <c r="C250" i="1"/>
  <c r="I250" i="1" s="1"/>
  <c r="Q131" i="1" l="1"/>
  <c r="M132" i="1"/>
  <c r="S132" i="1" s="1"/>
  <c r="D250" i="1"/>
  <c r="E250" i="1" s="1"/>
  <c r="G250" i="1" s="1"/>
  <c r="C251" i="1"/>
  <c r="I251" i="1" s="1"/>
  <c r="N132" i="1" l="1"/>
  <c r="O132" i="1" s="1"/>
  <c r="D251" i="1"/>
  <c r="E251" i="1" s="1"/>
  <c r="G251" i="1" s="1"/>
  <c r="C252" i="1"/>
  <c r="I252" i="1" s="1"/>
  <c r="Q132" i="1" l="1"/>
  <c r="M133" i="1"/>
  <c r="S133" i="1" s="1"/>
  <c r="D252" i="1"/>
  <c r="E252" i="1" s="1"/>
  <c r="G252" i="1" s="1"/>
  <c r="C253" i="1"/>
  <c r="I253" i="1" s="1"/>
  <c r="N133" i="1" l="1"/>
  <c r="O133" i="1" s="1"/>
  <c r="D253" i="1"/>
  <c r="E253" i="1" s="1"/>
  <c r="G253" i="1" s="1"/>
  <c r="C254" i="1"/>
  <c r="I254" i="1" s="1"/>
  <c r="Q133" i="1" l="1"/>
  <c r="M134" i="1"/>
  <c r="S134" i="1" s="1"/>
  <c r="D254" i="1"/>
  <c r="E254" i="1" s="1"/>
  <c r="G254" i="1" s="1"/>
  <c r="C255" i="1"/>
  <c r="I255" i="1" s="1"/>
  <c r="N134" i="1" l="1"/>
  <c r="O134" i="1" s="1"/>
  <c r="D255" i="1"/>
  <c r="E255" i="1" s="1"/>
  <c r="G255" i="1" s="1"/>
  <c r="C256" i="1"/>
  <c r="I256" i="1" s="1"/>
  <c r="Q134" i="1" l="1"/>
  <c r="M135" i="1"/>
  <c r="S135" i="1" s="1"/>
  <c r="D256" i="1"/>
  <c r="E256" i="1" s="1"/>
  <c r="G256" i="1" s="1"/>
  <c r="C257" i="1"/>
  <c r="I257" i="1" s="1"/>
  <c r="N135" i="1" l="1"/>
  <c r="O135" i="1" s="1"/>
  <c r="D257" i="1"/>
  <c r="E257" i="1" s="1"/>
  <c r="G257" i="1" s="1"/>
  <c r="C258" i="1"/>
  <c r="I258" i="1" s="1"/>
  <c r="Q135" i="1" l="1"/>
  <c r="M136" i="1"/>
  <c r="S136" i="1" s="1"/>
  <c r="D258" i="1"/>
  <c r="E258" i="1" s="1"/>
  <c r="G258" i="1" s="1"/>
  <c r="C259" i="1"/>
  <c r="I259" i="1" s="1"/>
  <c r="N136" i="1" l="1"/>
  <c r="O136" i="1" s="1"/>
  <c r="D259" i="1"/>
  <c r="E259" i="1" s="1"/>
  <c r="G259" i="1" s="1"/>
  <c r="C260" i="1"/>
  <c r="I260" i="1" s="1"/>
  <c r="Q136" i="1" l="1"/>
  <c r="M137" i="1"/>
  <c r="S137" i="1" s="1"/>
  <c r="D260" i="1"/>
  <c r="E260" i="1" s="1"/>
  <c r="G260" i="1" s="1"/>
  <c r="C261" i="1"/>
  <c r="I261" i="1" s="1"/>
  <c r="N137" i="1" l="1"/>
  <c r="O137" i="1" s="1"/>
  <c r="D261" i="1"/>
  <c r="E261" i="1" s="1"/>
  <c r="G261" i="1" s="1"/>
  <c r="C262" i="1"/>
  <c r="I262" i="1" s="1"/>
  <c r="Q137" i="1" l="1"/>
  <c r="M138" i="1"/>
  <c r="S138" i="1" s="1"/>
  <c r="D262" i="1"/>
  <c r="E262" i="1" s="1"/>
  <c r="G262" i="1" s="1"/>
  <c r="C263" i="1"/>
  <c r="I263" i="1" s="1"/>
  <c r="N138" i="1" l="1"/>
  <c r="O138" i="1" s="1"/>
  <c r="D263" i="1"/>
  <c r="E263" i="1" s="1"/>
  <c r="G263" i="1" s="1"/>
  <c r="C264" i="1"/>
  <c r="I264" i="1" s="1"/>
  <c r="Q138" i="1" l="1"/>
  <c r="M139" i="1"/>
  <c r="S139" i="1" s="1"/>
  <c r="D264" i="1"/>
  <c r="E264" i="1" s="1"/>
  <c r="G264" i="1" s="1"/>
  <c r="C265" i="1"/>
  <c r="I265" i="1" s="1"/>
  <c r="N139" i="1" l="1"/>
  <c r="O139" i="1" s="1"/>
  <c r="D265" i="1"/>
  <c r="E265" i="1" s="1"/>
  <c r="G265" i="1" s="1"/>
  <c r="C266" i="1"/>
  <c r="I266" i="1" s="1"/>
  <c r="Q139" i="1" l="1"/>
  <c r="M140" i="1"/>
  <c r="S140" i="1" s="1"/>
  <c r="D266" i="1"/>
  <c r="E266" i="1" s="1"/>
  <c r="G266" i="1" s="1"/>
  <c r="C267" i="1"/>
  <c r="I267" i="1" s="1"/>
  <c r="N140" i="1" l="1"/>
  <c r="O140" i="1" s="1"/>
  <c r="D267" i="1"/>
  <c r="E267" i="1" s="1"/>
  <c r="G267" i="1" s="1"/>
  <c r="C268" i="1"/>
  <c r="I268" i="1" s="1"/>
  <c r="Q140" i="1" l="1"/>
  <c r="M141" i="1"/>
  <c r="S141" i="1" s="1"/>
  <c r="D268" i="1"/>
  <c r="E268" i="1" s="1"/>
  <c r="G268" i="1" s="1"/>
  <c r="C269" i="1"/>
  <c r="I269" i="1" s="1"/>
  <c r="N141" i="1" l="1"/>
  <c r="O141" i="1" s="1"/>
  <c r="D269" i="1"/>
  <c r="E269" i="1" s="1"/>
  <c r="G269" i="1" s="1"/>
  <c r="C270" i="1"/>
  <c r="I270" i="1" s="1"/>
  <c r="Q141" i="1" l="1"/>
  <c r="M142" i="1"/>
  <c r="S142" i="1" s="1"/>
  <c r="D270" i="1"/>
  <c r="E270" i="1" s="1"/>
  <c r="G270" i="1" s="1"/>
  <c r="C271" i="1"/>
  <c r="I271" i="1" s="1"/>
  <c r="N142" i="1" l="1"/>
  <c r="O142" i="1" s="1"/>
  <c r="D271" i="1"/>
  <c r="E271" i="1" s="1"/>
  <c r="G271" i="1" s="1"/>
  <c r="C272" i="1"/>
  <c r="I272" i="1" s="1"/>
  <c r="Q142" i="1" l="1"/>
  <c r="M143" i="1"/>
  <c r="S143" i="1" s="1"/>
  <c r="D272" i="1"/>
  <c r="E272" i="1" s="1"/>
  <c r="G272" i="1" s="1"/>
  <c r="C273" i="1"/>
  <c r="I273" i="1" s="1"/>
  <c r="N143" i="1" l="1"/>
  <c r="O143" i="1" s="1"/>
  <c r="D273" i="1"/>
  <c r="E273" i="1" s="1"/>
  <c r="G273" i="1" s="1"/>
  <c r="C274" i="1"/>
  <c r="I274" i="1" s="1"/>
  <c r="Q143" i="1" l="1"/>
  <c r="M144" i="1"/>
  <c r="S144" i="1" s="1"/>
  <c r="D274" i="1"/>
  <c r="E274" i="1" s="1"/>
  <c r="G274" i="1" s="1"/>
  <c r="C275" i="1"/>
  <c r="I275" i="1" s="1"/>
  <c r="N144" i="1" l="1"/>
  <c r="O144" i="1" s="1"/>
  <c r="D275" i="1"/>
  <c r="E275" i="1" s="1"/>
  <c r="G275" i="1" s="1"/>
  <c r="C276" i="1"/>
  <c r="I276" i="1" s="1"/>
  <c r="Q144" i="1" l="1"/>
  <c r="M145" i="1"/>
  <c r="S145" i="1" s="1"/>
  <c r="D276" i="1"/>
  <c r="E276" i="1" s="1"/>
  <c r="G276" i="1" s="1"/>
  <c r="C277" i="1"/>
  <c r="I277" i="1" s="1"/>
  <c r="N145" i="1" l="1"/>
  <c r="O145" i="1" s="1"/>
  <c r="D277" i="1"/>
  <c r="E277" i="1" s="1"/>
  <c r="G277" i="1" s="1"/>
  <c r="C278" i="1"/>
  <c r="I278" i="1" s="1"/>
  <c r="Q145" i="1" l="1"/>
  <c r="M146" i="1"/>
  <c r="S146" i="1" s="1"/>
  <c r="D278" i="1"/>
  <c r="E278" i="1" s="1"/>
  <c r="G278" i="1" s="1"/>
  <c r="C279" i="1"/>
  <c r="I279" i="1" s="1"/>
  <c r="N146" i="1" l="1"/>
  <c r="O146" i="1" s="1"/>
  <c r="D279" i="1"/>
  <c r="E279" i="1" s="1"/>
  <c r="G279" i="1" s="1"/>
  <c r="C280" i="1"/>
  <c r="I280" i="1" s="1"/>
  <c r="Q146" i="1" l="1"/>
  <c r="M147" i="1"/>
  <c r="S147" i="1" s="1"/>
  <c r="D280" i="1"/>
  <c r="E280" i="1" s="1"/>
  <c r="G280" i="1" s="1"/>
  <c r="C281" i="1"/>
  <c r="I281" i="1" s="1"/>
  <c r="N147" i="1" l="1"/>
  <c r="O147" i="1" s="1"/>
  <c r="D281" i="1"/>
  <c r="E281" i="1" s="1"/>
  <c r="G281" i="1" s="1"/>
  <c r="C282" i="1"/>
  <c r="I282" i="1" s="1"/>
  <c r="Q147" i="1" l="1"/>
  <c r="M148" i="1"/>
  <c r="S148" i="1" s="1"/>
  <c r="D282" i="1"/>
  <c r="E282" i="1" s="1"/>
  <c r="G282" i="1" s="1"/>
  <c r="C283" i="1"/>
  <c r="I283" i="1" s="1"/>
  <c r="N148" i="1" l="1"/>
  <c r="O148" i="1" s="1"/>
  <c r="D283" i="1"/>
  <c r="E283" i="1" s="1"/>
  <c r="G283" i="1" s="1"/>
  <c r="C284" i="1"/>
  <c r="I284" i="1" s="1"/>
  <c r="Q148" i="1" l="1"/>
  <c r="M149" i="1"/>
  <c r="S149" i="1" s="1"/>
  <c r="D284" i="1"/>
  <c r="E284" i="1" s="1"/>
  <c r="G284" i="1" s="1"/>
  <c r="C285" i="1"/>
  <c r="I285" i="1" s="1"/>
  <c r="N149" i="1" l="1"/>
  <c r="O149" i="1" s="1"/>
  <c r="D285" i="1"/>
  <c r="E285" i="1" s="1"/>
  <c r="G285" i="1" s="1"/>
  <c r="C286" i="1"/>
  <c r="I286" i="1" s="1"/>
  <c r="Q149" i="1" l="1"/>
  <c r="M150" i="1"/>
  <c r="S150" i="1" s="1"/>
  <c r="D286" i="1"/>
  <c r="E286" i="1" s="1"/>
  <c r="G286" i="1" s="1"/>
  <c r="C287" i="1"/>
  <c r="I287" i="1" s="1"/>
  <c r="N150" i="1" l="1"/>
  <c r="O150" i="1" s="1"/>
  <c r="D287" i="1"/>
  <c r="E287" i="1" s="1"/>
  <c r="G287" i="1" s="1"/>
  <c r="C288" i="1"/>
  <c r="I288" i="1" s="1"/>
  <c r="Q150" i="1" l="1"/>
  <c r="M151" i="1"/>
  <c r="S151" i="1" s="1"/>
  <c r="D288" i="1"/>
  <c r="E288" i="1" s="1"/>
  <c r="G288" i="1" s="1"/>
  <c r="C289" i="1"/>
  <c r="I289" i="1" s="1"/>
  <c r="N151" i="1" l="1"/>
  <c r="O151" i="1" s="1"/>
  <c r="D289" i="1"/>
  <c r="E289" i="1" s="1"/>
  <c r="G289" i="1" s="1"/>
  <c r="C290" i="1"/>
  <c r="I290" i="1" s="1"/>
  <c r="Q151" i="1" l="1"/>
  <c r="M152" i="1"/>
  <c r="S152" i="1" s="1"/>
  <c r="D290" i="1"/>
  <c r="E290" i="1" s="1"/>
  <c r="G290" i="1" s="1"/>
  <c r="C291" i="1"/>
  <c r="I291" i="1" s="1"/>
  <c r="N152" i="1" l="1"/>
  <c r="O152" i="1" s="1"/>
  <c r="D291" i="1"/>
  <c r="E291" i="1" s="1"/>
  <c r="G291" i="1" s="1"/>
  <c r="C292" i="1"/>
  <c r="I292" i="1" s="1"/>
  <c r="Q152" i="1" l="1"/>
  <c r="M153" i="1"/>
  <c r="S153" i="1" s="1"/>
  <c r="D292" i="1"/>
  <c r="E292" i="1" s="1"/>
  <c r="G292" i="1" s="1"/>
  <c r="C293" i="1"/>
  <c r="I293" i="1" s="1"/>
  <c r="N153" i="1" l="1"/>
  <c r="O153" i="1" s="1"/>
  <c r="D293" i="1"/>
  <c r="E293" i="1" s="1"/>
  <c r="G293" i="1" s="1"/>
  <c r="C294" i="1"/>
  <c r="I294" i="1" s="1"/>
  <c r="Q153" i="1" l="1"/>
  <c r="M154" i="1"/>
  <c r="S154" i="1" s="1"/>
  <c r="D294" i="1"/>
  <c r="E294" i="1" s="1"/>
  <c r="G294" i="1" s="1"/>
  <c r="C295" i="1"/>
  <c r="I295" i="1" s="1"/>
  <c r="N154" i="1" l="1"/>
  <c r="O154" i="1" s="1"/>
  <c r="D295" i="1"/>
  <c r="E295" i="1" s="1"/>
  <c r="G295" i="1" s="1"/>
  <c r="C296" i="1"/>
  <c r="I296" i="1" s="1"/>
  <c r="Q154" i="1" l="1"/>
  <c r="M155" i="1"/>
  <c r="S155" i="1" s="1"/>
  <c r="D296" i="1"/>
  <c r="E296" i="1" s="1"/>
  <c r="G296" i="1" s="1"/>
  <c r="C297" i="1"/>
  <c r="I297" i="1" s="1"/>
  <c r="N155" i="1" l="1"/>
  <c r="O155" i="1" s="1"/>
  <c r="D297" i="1"/>
  <c r="E297" i="1" s="1"/>
  <c r="G297" i="1" s="1"/>
  <c r="C298" i="1"/>
  <c r="I298" i="1" s="1"/>
  <c r="Q155" i="1" l="1"/>
  <c r="M156" i="1"/>
  <c r="S156" i="1" s="1"/>
  <c r="D298" i="1"/>
  <c r="E298" i="1" s="1"/>
  <c r="G298" i="1" s="1"/>
  <c r="C299" i="1"/>
  <c r="I299" i="1" s="1"/>
  <c r="N156" i="1" l="1"/>
  <c r="O156" i="1" s="1"/>
  <c r="D299" i="1"/>
  <c r="E299" i="1" s="1"/>
  <c r="G299" i="1" s="1"/>
  <c r="C300" i="1"/>
  <c r="I300" i="1" s="1"/>
  <c r="Q156" i="1" l="1"/>
  <c r="M157" i="1"/>
  <c r="S157" i="1" s="1"/>
  <c r="D300" i="1"/>
  <c r="E300" i="1" s="1"/>
  <c r="G300" i="1" s="1"/>
  <c r="C301" i="1"/>
  <c r="I301" i="1" s="1"/>
  <c r="N157" i="1" l="1"/>
  <c r="O157" i="1" s="1"/>
  <c r="D301" i="1"/>
  <c r="E301" i="1" s="1"/>
  <c r="G301" i="1" s="1"/>
  <c r="C302" i="1"/>
  <c r="I302" i="1" s="1"/>
  <c r="Q157" i="1" l="1"/>
  <c r="M158" i="1"/>
  <c r="S158" i="1" s="1"/>
  <c r="D302" i="1"/>
  <c r="E302" i="1" s="1"/>
  <c r="G302" i="1" s="1"/>
  <c r="C303" i="1"/>
  <c r="I303" i="1" s="1"/>
  <c r="N158" i="1" l="1"/>
  <c r="O158" i="1" s="1"/>
  <c r="D303" i="1"/>
  <c r="E303" i="1" s="1"/>
  <c r="G303" i="1" s="1"/>
  <c r="C304" i="1"/>
  <c r="I304" i="1" s="1"/>
  <c r="Q158" i="1" l="1"/>
  <c r="M159" i="1"/>
  <c r="S159" i="1" s="1"/>
  <c r="D304" i="1"/>
  <c r="E304" i="1" s="1"/>
  <c r="G304" i="1" s="1"/>
  <c r="C305" i="1"/>
  <c r="I305" i="1" s="1"/>
  <c r="N159" i="1" l="1"/>
  <c r="O159" i="1" s="1"/>
  <c r="D305" i="1"/>
  <c r="E305" i="1" s="1"/>
  <c r="G305" i="1" s="1"/>
  <c r="C306" i="1"/>
  <c r="I306" i="1" s="1"/>
  <c r="Q159" i="1" l="1"/>
  <c r="M160" i="1"/>
  <c r="S160" i="1" s="1"/>
  <c r="D306" i="1"/>
  <c r="E306" i="1" s="1"/>
  <c r="G306" i="1" s="1"/>
  <c r="C307" i="1"/>
  <c r="I307" i="1" s="1"/>
  <c r="N160" i="1" l="1"/>
  <c r="O160" i="1" s="1"/>
  <c r="D307" i="1"/>
  <c r="E307" i="1" s="1"/>
  <c r="G307" i="1" s="1"/>
  <c r="C308" i="1"/>
  <c r="I308" i="1" s="1"/>
  <c r="Q160" i="1" l="1"/>
  <c r="M161" i="1"/>
  <c r="S161" i="1" s="1"/>
  <c r="D308" i="1"/>
  <c r="E308" i="1" s="1"/>
  <c r="G308" i="1" s="1"/>
  <c r="C309" i="1"/>
  <c r="I309" i="1" s="1"/>
  <c r="N161" i="1" l="1"/>
  <c r="O161" i="1" s="1"/>
  <c r="D309" i="1"/>
  <c r="E309" i="1" s="1"/>
  <c r="G309" i="1" s="1"/>
  <c r="C310" i="1"/>
  <c r="I310" i="1" s="1"/>
  <c r="Q161" i="1" l="1"/>
  <c r="M162" i="1"/>
  <c r="S162" i="1" s="1"/>
  <c r="D310" i="1"/>
  <c r="E310" i="1" s="1"/>
  <c r="G310" i="1" s="1"/>
  <c r="C311" i="1"/>
  <c r="I311" i="1" s="1"/>
  <c r="N162" i="1" l="1"/>
  <c r="O162" i="1" s="1"/>
  <c r="D311" i="1"/>
  <c r="E311" i="1" s="1"/>
  <c r="G311" i="1" s="1"/>
  <c r="C312" i="1"/>
  <c r="I312" i="1" s="1"/>
  <c r="Q162" i="1" l="1"/>
  <c r="M163" i="1"/>
  <c r="S163" i="1" s="1"/>
  <c r="D312" i="1"/>
  <c r="E312" i="1" s="1"/>
  <c r="G312" i="1" s="1"/>
  <c r="C313" i="1"/>
  <c r="I313" i="1" s="1"/>
  <c r="N163" i="1" l="1"/>
  <c r="O163" i="1" s="1"/>
  <c r="D313" i="1"/>
  <c r="E313" i="1" s="1"/>
  <c r="G313" i="1" s="1"/>
  <c r="C314" i="1"/>
  <c r="I314" i="1" s="1"/>
  <c r="Q163" i="1" l="1"/>
  <c r="M164" i="1"/>
  <c r="S164" i="1" s="1"/>
  <c r="D314" i="1"/>
  <c r="E314" i="1" s="1"/>
  <c r="G314" i="1" s="1"/>
  <c r="C315" i="1"/>
  <c r="I315" i="1" s="1"/>
  <c r="N164" i="1" l="1"/>
  <c r="O164" i="1" s="1"/>
  <c r="D315" i="1"/>
  <c r="E315" i="1" s="1"/>
  <c r="G315" i="1" s="1"/>
  <c r="C316" i="1"/>
  <c r="I316" i="1" s="1"/>
  <c r="Q164" i="1" l="1"/>
  <c r="M165" i="1"/>
  <c r="S165" i="1" s="1"/>
  <c r="D316" i="1"/>
  <c r="E316" i="1" s="1"/>
  <c r="G316" i="1" s="1"/>
  <c r="C317" i="1"/>
  <c r="I317" i="1" s="1"/>
  <c r="N165" i="1" l="1"/>
  <c r="O165" i="1" s="1"/>
  <c r="D317" i="1"/>
  <c r="E317" i="1" s="1"/>
  <c r="G317" i="1" s="1"/>
  <c r="C318" i="1"/>
  <c r="I318" i="1" s="1"/>
  <c r="Q165" i="1" l="1"/>
  <c r="M166" i="1"/>
  <c r="S166" i="1" s="1"/>
  <c r="D318" i="1"/>
  <c r="E318" i="1" s="1"/>
  <c r="G318" i="1" s="1"/>
  <c r="C319" i="1"/>
  <c r="I319" i="1" s="1"/>
  <c r="N166" i="1" l="1"/>
  <c r="O166" i="1" s="1"/>
  <c r="D319" i="1"/>
  <c r="E319" i="1" s="1"/>
  <c r="G319" i="1" s="1"/>
  <c r="C320" i="1"/>
  <c r="I320" i="1" s="1"/>
  <c r="Q166" i="1" l="1"/>
  <c r="M167" i="1"/>
  <c r="S167" i="1" s="1"/>
  <c r="D320" i="1"/>
  <c r="E320" i="1" s="1"/>
  <c r="G320" i="1" s="1"/>
  <c r="C321" i="1"/>
  <c r="I321" i="1" s="1"/>
  <c r="N167" i="1" l="1"/>
  <c r="O167" i="1" s="1"/>
  <c r="D321" i="1"/>
  <c r="E321" i="1" s="1"/>
  <c r="G321" i="1" s="1"/>
  <c r="C322" i="1"/>
  <c r="I322" i="1" s="1"/>
  <c r="Q167" i="1" l="1"/>
  <c r="M168" i="1"/>
  <c r="S168" i="1" s="1"/>
  <c r="D322" i="1"/>
  <c r="E322" i="1" s="1"/>
  <c r="G322" i="1" s="1"/>
  <c r="C323" i="1"/>
  <c r="I323" i="1" s="1"/>
  <c r="N168" i="1" l="1"/>
  <c r="O168" i="1" s="1"/>
  <c r="D323" i="1"/>
  <c r="E323" i="1" s="1"/>
  <c r="G323" i="1" s="1"/>
  <c r="C324" i="1"/>
  <c r="I324" i="1" s="1"/>
  <c r="Q168" i="1" l="1"/>
  <c r="M169" i="1"/>
  <c r="S169" i="1" s="1"/>
  <c r="D324" i="1"/>
  <c r="E324" i="1" s="1"/>
  <c r="G324" i="1" s="1"/>
  <c r="C325" i="1"/>
  <c r="I325" i="1" s="1"/>
  <c r="N169" i="1" l="1"/>
  <c r="O169" i="1" s="1"/>
  <c r="D325" i="1"/>
  <c r="E325" i="1" s="1"/>
  <c r="G325" i="1" s="1"/>
  <c r="C326" i="1"/>
  <c r="I326" i="1" s="1"/>
  <c r="Q169" i="1" l="1"/>
  <c r="M170" i="1"/>
  <c r="S170" i="1" s="1"/>
  <c r="D326" i="1"/>
  <c r="E326" i="1" s="1"/>
  <c r="G326" i="1" s="1"/>
  <c r="C327" i="1"/>
  <c r="I327" i="1" s="1"/>
  <c r="N170" i="1" l="1"/>
  <c r="O170" i="1" s="1"/>
  <c r="D327" i="1"/>
  <c r="E327" i="1" s="1"/>
  <c r="G327" i="1" s="1"/>
  <c r="C328" i="1"/>
  <c r="I328" i="1" s="1"/>
  <c r="Q170" i="1" l="1"/>
  <c r="M171" i="1"/>
  <c r="S171" i="1" s="1"/>
  <c r="D328" i="1"/>
  <c r="E328" i="1" s="1"/>
  <c r="G328" i="1" s="1"/>
  <c r="C329" i="1"/>
  <c r="I329" i="1" s="1"/>
  <c r="N171" i="1" l="1"/>
  <c r="O171" i="1" s="1"/>
  <c r="D329" i="1"/>
  <c r="E329" i="1" s="1"/>
  <c r="G329" i="1" s="1"/>
  <c r="C330" i="1"/>
  <c r="I330" i="1" s="1"/>
  <c r="Q171" i="1" l="1"/>
  <c r="M172" i="1"/>
  <c r="S172" i="1" s="1"/>
  <c r="D330" i="1"/>
  <c r="E330" i="1" s="1"/>
  <c r="G330" i="1" s="1"/>
  <c r="C331" i="1"/>
  <c r="I331" i="1" s="1"/>
  <c r="N172" i="1" l="1"/>
  <c r="O172" i="1" s="1"/>
  <c r="D331" i="1"/>
  <c r="E331" i="1" s="1"/>
  <c r="G331" i="1" s="1"/>
  <c r="C332" i="1"/>
  <c r="I332" i="1" s="1"/>
  <c r="Q172" i="1" l="1"/>
  <c r="M173" i="1"/>
  <c r="S173" i="1" s="1"/>
  <c r="D332" i="1"/>
  <c r="E332" i="1" s="1"/>
  <c r="G332" i="1" s="1"/>
  <c r="C333" i="1"/>
  <c r="I333" i="1" s="1"/>
  <c r="N173" i="1" l="1"/>
  <c r="O173" i="1" s="1"/>
  <c r="D333" i="1"/>
  <c r="E333" i="1" s="1"/>
  <c r="G333" i="1" s="1"/>
  <c r="C334" i="1"/>
  <c r="I334" i="1" s="1"/>
  <c r="Q173" i="1" l="1"/>
  <c r="M174" i="1"/>
  <c r="S174" i="1" s="1"/>
  <c r="D334" i="1"/>
  <c r="E334" i="1" s="1"/>
  <c r="G334" i="1" s="1"/>
  <c r="C335" i="1"/>
  <c r="I335" i="1" s="1"/>
  <c r="N174" i="1" l="1"/>
  <c r="O174" i="1" s="1"/>
  <c r="D335" i="1"/>
  <c r="E335" i="1" s="1"/>
  <c r="G335" i="1" s="1"/>
  <c r="C336" i="1"/>
  <c r="I336" i="1" s="1"/>
  <c r="Q174" i="1" l="1"/>
  <c r="M175" i="1"/>
  <c r="S175" i="1" s="1"/>
  <c r="D336" i="1"/>
  <c r="E336" i="1" s="1"/>
  <c r="G336" i="1" s="1"/>
  <c r="C337" i="1"/>
  <c r="I337" i="1" s="1"/>
  <c r="N175" i="1" l="1"/>
  <c r="O175" i="1" s="1"/>
  <c r="D337" i="1"/>
  <c r="E337" i="1" s="1"/>
  <c r="G337" i="1" s="1"/>
  <c r="C338" i="1"/>
  <c r="I338" i="1" s="1"/>
  <c r="Q175" i="1" l="1"/>
  <c r="M176" i="1"/>
  <c r="S176" i="1" s="1"/>
  <c r="D338" i="1"/>
  <c r="E338" i="1" s="1"/>
  <c r="G338" i="1" s="1"/>
  <c r="C339" i="1"/>
  <c r="I339" i="1" s="1"/>
  <c r="N176" i="1" l="1"/>
  <c r="O176" i="1" s="1"/>
  <c r="D339" i="1"/>
  <c r="E339" i="1" s="1"/>
  <c r="G339" i="1" s="1"/>
  <c r="C340" i="1"/>
  <c r="I340" i="1" s="1"/>
  <c r="Q176" i="1" l="1"/>
  <c r="M177" i="1"/>
  <c r="S177" i="1" s="1"/>
  <c r="D340" i="1"/>
  <c r="E340" i="1" s="1"/>
  <c r="G340" i="1" s="1"/>
  <c r="C341" i="1"/>
  <c r="I341" i="1" s="1"/>
  <c r="N177" i="1" l="1"/>
  <c r="O177" i="1" s="1"/>
  <c r="D341" i="1"/>
  <c r="E341" i="1" s="1"/>
  <c r="G341" i="1" s="1"/>
  <c r="C342" i="1"/>
  <c r="I342" i="1" s="1"/>
  <c r="Q177" i="1" l="1"/>
  <c r="M178" i="1"/>
  <c r="S178" i="1" s="1"/>
  <c r="D342" i="1"/>
  <c r="E342" i="1" s="1"/>
  <c r="G342" i="1" s="1"/>
  <c r="C343" i="1"/>
  <c r="I343" i="1" s="1"/>
  <c r="N178" i="1" l="1"/>
  <c r="O178" i="1" s="1"/>
  <c r="D343" i="1"/>
  <c r="E343" i="1" s="1"/>
  <c r="G343" i="1" s="1"/>
  <c r="C344" i="1"/>
  <c r="I344" i="1" s="1"/>
  <c r="Q178" i="1" l="1"/>
  <c r="M179" i="1"/>
  <c r="S179" i="1" s="1"/>
  <c r="D344" i="1"/>
  <c r="E344" i="1" s="1"/>
  <c r="G344" i="1" s="1"/>
  <c r="C345" i="1"/>
  <c r="I345" i="1" s="1"/>
  <c r="N179" i="1" l="1"/>
  <c r="O179" i="1" s="1"/>
  <c r="D345" i="1"/>
  <c r="E345" i="1" s="1"/>
  <c r="G345" i="1" s="1"/>
  <c r="C346" i="1"/>
  <c r="I346" i="1" s="1"/>
  <c r="Q179" i="1" l="1"/>
  <c r="M180" i="1"/>
  <c r="S180" i="1" s="1"/>
  <c r="D346" i="1"/>
  <c r="E346" i="1" s="1"/>
  <c r="G346" i="1" s="1"/>
  <c r="C347" i="1"/>
  <c r="I347" i="1" s="1"/>
  <c r="N180" i="1" l="1"/>
  <c r="O180" i="1" s="1"/>
  <c r="D347" i="1"/>
  <c r="E347" i="1" s="1"/>
  <c r="G347" i="1" s="1"/>
  <c r="C348" i="1"/>
  <c r="I348" i="1" s="1"/>
  <c r="Q180" i="1" l="1"/>
  <c r="M181" i="1"/>
  <c r="S181" i="1" s="1"/>
  <c r="D348" i="1"/>
  <c r="E348" i="1" s="1"/>
  <c r="G348" i="1" s="1"/>
  <c r="C349" i="1"/>
  <c r="I349" i="1" s="1"/>
  <c r="N181" i="1" l="1"/>
  <c r="O181" i="1" s="1"/>
  <c r="D349" i="1"/>
  <c r="E349" i="1" s="1"/>
  <c r="G349" i="1" s="1"/>
  <c r="C350" i="1"/>
  <c r="I350" i="1" s="1"/>
  <c r="Q181" i="1" l="1"/>
  <c r="M182" i="1"/>
  <c r="S182" i="1" s="1"/>
  <c r="D350" i="1"/>
  <c r="E350" i="1" s="1"/>
  <c r="G350" i="1" s="1"/>
  <c r="C351" i="1"/>
  <c r="I351" i="1" s="1"/>
  <c r="N182" i="1" l="1"/>
  <c r="O182" i="1" s="1"/>
  <c r="D351" i="1"/>
  <c r="E351" i="1" s="1"/>
  <c r="G351" i="1" s="1"/>
  <c r="C352" i="1"/>
  <c r="I352" i="1" s="1"/>
  <c r="Q182" i="1" l="1"/>
  <c r="M183" i="1"/>
  <c r="S183" i="1" s="1"/>
  <c r="D352" i="1"/>
  <c r="E352" i="1" s="1"/>
  <c r="G352" i="1" s="1"/>
  <c r="C353" i="1"/>
  <c r="I353" i="1" s="1"/>
  <c r="N183" i="1" l="1"/>
  <c r="O183" i="1" s="1"/>
  <c r="D353" i="1"/>
  <c r="E353" i="1" s="1"/>
  <c r="G353" i="1" s="1"/>
  <c r="C354" i="1"/>
  <c r="I354" i="1" s="1"/>
  <c r="Q183" i="1" l="1"/>
  <c r="M184" i="1"/>
  <c r="S184" i="1" s="1"/>
  <c r="D354" i="1"/>
  <c r="E354" i="1" s="1"/>
  <c r="G354" i="1" s="1"/>
  <c r="C355" i="1"/>
  <c r="I355" i="1" s="1"/>
  <c r="N184" i="1" l="1"/>
  <c r="O184" i="1" s="1"/>
  <c r="D355" i="1"/>
  <c r="E355" i="1" s="1"/>
  <c r="G355" i="1" s="1"/>
  <c r="C356" i="1"/>
  <c r="I356" i="1" s="1"/>
  <c r="Q184" i="1" l="1"/>
  <c r="M185" i="1"/>
  <c r="S185" i="1" s="1"/>
  <c r="D356" i="1"/>
  <c r="E356" i="1" s="1"/>
  <c r="G356" i="1" s="1"/>
  <c r="C357" i="1"/>
  <c r="I357" i="1" s="1"/>
  <c r="N185" i="1" l="1"/>
  <c r="O185" i="1" s="1"/>
  <c r="D357" i="1"/>
  <c r="E357" i="1" s="1"/>
  <c r="G357" i="1" s="1"/>
  <c r="C358" i="1"/>
  <c r="I358" i="1" s="1"/>
  <c r="Q185" i="1" l="1"/>
  <c r="M186" i="1"/>
  <c r="S186" i="1" s="1"/>
  <c r="D358" i="1"/>
  <c r="E358" i="1" s="1"/>
  <c r="G358" i="1" s="1"/>
  <c r="C359" i="1"/>
  <c r="I359" i="1" s="1"/>
  <c r="N186" i="1" l="1"/>
  <c r="O186" i="1" s="1"/>
  <c r="D359" i="1"/>
  <c r="E359" i="1" s="1"/>
  <c r="G359" i="1" s="1"/>
  <c r="C360" i="1"/>
  <c r="I360" i="1" s="1"/>
  <c r="Q186" i="1" l="1"/>
  <c r="M187" i="1"/>
  <c r="S187" i="1" s="1"/>
  <c r="D360" i="1"/>
  <c r="E360" i="1" s="1"/>
  <c r="G360" i="1" s="1"/>
  <c r="C361" i="1"/>
  <c r="I361" i="1" s="1"/>
  <c r="N187" i="1" l="1"/>
  <c r="O187" i="1" s="1"/>
  <c r="D361" i="1"/>
  <c r="E361" i="1" s="1"/>
  <c r="G361" i="1" s="1"/>
  <c r="C362" i="1"/>
  <c r="I362" i="1" s="1"/>
  <c r="Q187" i="1" l="1"/>
  <c r="M188" i="1"/>
  <c r="S188" i="1" s="1"/>
  <c r="D362" i="1"/>
  <c r="E362" i="1" s="1"/>
  <c r="G362" i="1" s="1"/>
  <c r="C363" i="1"/>
  <c r="I363" i="1" s="1"/>
  <c r="N188" i="1" l="1"/>
  <c r="O188" i="1" s="1"/>
  <c r="D363" i="1"/>
  <c r="E363" i="1" s="1"/>
  <c r="G363" i="1" s="1"/>
  <c r="C364" i="1"/>
  <c r="I364" i="1" s="1"/>
  <c r="Q188" i="1" l="1"/>
  <c r="M189" i="1"/>
  <c r="S189" i="1" s="1"/>
  <c r="D364" i="1"/>
  <c r="E364" i="1" s="1"/>
  <c r="G364" i="1" s="1"/>
  <c r="C365" i="1"/>
  <c r="I365" i="1" s="1"/>
  <c r="N189" i="1" l="1"/>
  <c r="O189" i="1" s="1"/>
  <c r="D365" i="1"/>
  <c r="E365" i="1" s="1"/>
  <c r="G365" i="1" s="1"/>
  <c r="C366" i="1"/>
  <c r="I366" i="1" s="1"/>
  <c r="Q189" i="1" l="1"/>
  <c r="M190" i="1"/>
  <c r="S190" i="1" s="1"/>
  <c r="D366" i="1"/>
  <c r="E366" i="1" s="1"/>
  <c r="G366" i="1" s="1"/>
  <c r="C367" i="1"/>
  <c r="I367" i="1" s="1"/>
  <c r="N190" i="1" l="1"/>
  <c r="O190" i="1" s="1"/>
  <c r="D367" i="1"/>
  <c r="E367" i="1" s="1"/>
  <c r="G367" i="1" s="1"/>
  <c r="C368" i="1"/>
  <c r="I368" i="1" s="1"/>
  <c r="Q190" i="1" l="1"/>
  <c r="M191" i="1"/>
  <c r="S191" i="1" s="1"/>
  <c r="D368" i="1"/>
  <c r="E368" i="1" s="1"/>
  <c r="G368" i="1" s="1"/>
  <c r="C369" i="1"/>
  <c r="I369" i="1" s="1"/>
  <c r="N191" i="1" l="1"/>
  <c r="O191" i="1" s="1"/>
  <c r="D369" i="1"/>
  <c r="E369" i="1" s="1"/>
  <c r="G369" i="1" s="1"/>
  <c r="C370" i="1"/>
  <c r="I370" i="1" s="1"/>
  <c r="Q191" i="1" l="1"/>
  <c r="M192" i="1"/>
  <c r="S192" i="1" s="1"/>
  <c r="D370" i="1"/>
  <c r="E370" i="1" s="1"/>
  <c r="G370" i="1" s="1"/>
  <c r="N192" i="1" l="1"/>
  <c r="O192" i="1" s="1"/>
  <c r="Q192" i="1" l="1"/>
  <c r="M193" i="1"/>
  <c r="S193" i="1" s="1"/>
  <c r="N193" i="1" l="1"/>
  <c r="O193" i="1" s="1"/>
  <c r="Q193" i="1" l="1"/>
  <c r="M194" i="1"/>
  <c r="S194" i="1" s="1"/>
  <c r="N194" i="1" l="1"/>
  <c r="O194" i="1" s="1"/>
  <c r="Q194" i="1" l="1"/>
  <c r="M195" i="1"/>
  <c r="S195" i="1" s="1"/>
  <c r="N195" i="1" l="1"/>
  <c r="O195" i="1" s="1"/>
  <c r="Q195" i="1" l="1"/>
  <c r="M196" i="1"/>
  <c r="S196" i="1" s="1"/>
  <c r="N196" i="1" l="1"/>
  <c r="O196" i="1" s="1"/>
  <c r="Q196" i="1" l="1"/>
  <c r="M197" i="1"/>
  <c r="S197" i="1" s="1"/>
  <c r="N197" i="1" l="1"/>
  <c r="O197" i="1" s="1"/>
  <c r="Q197" i="1" l="1"/>
  <c r="M198" i="1"/>
  <c r="S198" i="1" s="1"/>
  <c r="N198" i="1" l="1"/>
  <c r="O198" i="1" s="1"/>
  <c r="Q198" i="1" l="1"/>
  <c r="M199" i="1"/>
  <c r="S199" i="1" s="1"/>
  <c r="N199" i="1" l="1"/>
  <c r="O199" i="1" s="1"/>
  <c r="Q199" i="1" l="1"/>
  <c r="M200" i="1"/>
  <c r="S200" i="1" s="1"/>
  <c r="N200" i="1" l="1"/>
  <c r="O200" i="1" s="1"/>
  <c r="Q200" i="1" l="1"/>
  <c r="M201" i="1"/>
  <c r="S201" i="1" s="1"/>
  <c r="N201" i="1" l="1"/>
  <c r="O201" i="1" s="1"/>
  <c r="Q201" i="1" l="1"/>
  <c r="M202" i="1"/>
  <c r="S202" i="1" s="1"/>
  <c r="N202" i="1" l="1"/>
  <c r="O202" i="1" s="1"/>
  <c r="Q202" i="1" l="1"/>
  <c r="M203" i="1"/>
  <c r="S203" i="1" s="1"/>
  <c r="N203" i="1" l="1"/>
  <c r="O203" i="1" s="1"/>
  <c r="Q203" i="1" l="1"/>
  <c r="M204" i="1"/>
  <c r="S204" i="1" s="1"/>
  <c r="N204" i="1" l="1"/>
  <c r="O204" i="1" s="1"/>
  <c r="Q204" i="1" l="1"/>
  <c r="M205" i="1"/>
  <c r="S205" i="1" s="1"/>
  <c r="N205" i="1" l="1"/>
  <c r="O205" i="1" s="1"/>
  <c r="Q205" i="1" l="1"/>
  <c r="M206" i="1"/>
  <c r="S206" i="1" s="1"/>
  <c r="N206" i="1" l="1"/>
  <c r="O206" i="1" s="1"/>
  <c r="Q206" i="1" l="1"/>
  <c r="M207" i="1"/>
  <c r="S207" i="1" s="1"/>
  <c r="N207" i="1" l="1"/>
  <c r="O207" i="1" s="1"/>
  <c r="Q207" i="1" l="1"/>
  <c r="M208" i="1"/>
  <c r="S208" i="1" s="1"/>
  <c r="N208" i="1" l="1"/>
  <c r="O208" i="1" s="1"/>
  <c r="Q208" i="1" l="1"/>
  <c r="M209" i="1"/>
  <c r="S209" i="1" s="1"/>
  <c r="N209" i="1" l="1"/>
  <c r="O209" i="1" s="1"/>
  <c r="Q209" i="1" l="1"/>
  <c r="M210" i="1"/>
  <c r="S210" i="1" s="1"/>
  <c r="N210" i="1" l="1"/>
  <c r="O210" i="1" s="1"/>
  <c r="Q210" i="1" l="1"/>
  <c r="M211" i="1"/>
  <c r="S211" i="1" s="1"/>
  <c r="N211" i="1" l="1"/>
  <c r="O211" i="1" s="1"/>
  <c r="Q211" i="1" l="1"/>
  <c r="M212" i="1"/>
  <c r="S212" i="1" s="1"/>
  <c r="N212" i="1" l="1"/>
  <c r="O212" i="1" s="1"/>
  <c r="Q212" i="1" l="1"/>
  <c r="M213" i="1"/>
  <c r="S213" i="1" s="1"/>
  <c r="N213" i="1" l="1"/>
  <c r="O213" i="1" s="1"/>
  <c r="Q213" i="1" l="1"/>
  <c r="M214" i="1"/>
  <c r="S214" i="1" s="1"/>
  <c r="N214" i="1" l="1"/>
  <c r="O214" i="1" s="1"/>
  <c r="Q214" i="1" l="1"/>
  <c r="M215" i="1"/>
  <c r="S215" i="1" s="1"/>
  <c r="N215" i="1" l="1"/>
  <c r="O215" i="1" s="1"/>
  <c r="Q215" i="1" l="1"/>
  <c r="M216" i="1"/>
  <c r="S216" i="1" s="1"/>
  <c r="N216" i="1" l="1"/>
  <c r="O216" i="1" s="1"/>
  <c r="Q216" i="1" l="1"/>
  <c r="M217" i="1"/>
  <c r="S217" i="1" s="1"/>
  <c r="N217" i="1" l="1"/>
  <c r="O217" i="1" s="1"/>
  <c r="Q217" i="1" l="1"/>
  <c r="M218" i="1"/>
  <c r="S218" i="1" s="1"/>
  <c r="N218" i="1" l="1"/>
  <c r="O218" i="1" s="1"/>
  <c r="Q218" i="1" l="1"/>
  <c r="M219" i="1"/>
  <c r="S219" i="1" s="1"/>
  <c r="N219" i="1" l="1"/>
  <c r="O219" i="1" s="1"/>
  <c r="Q219" i="1" l="1"/>
  <c r="M220" i="1"/>
  <c r="S220" i="1" s="1"/>
  <c r="N220" i="1" l="1"/>
  <c r="O220" i="1" s="1"/>
  <c r="Q220" i="1" l="1"/>
  <c r="M221" i="1"/>
  <c r="S221" i="1" s="1"/>
  <c r="N221" i="1" l="1"/>
  <c r="O221" i="1" s="1"/>
  <c r="Q221" i="1" l="1"/>
  <c r="M222" i="1"/>
  <c r="S222" i="1" s="1"/>
  <c r="N222" i="1" l="1"/>
  <c r="O222" i="1" s="1"/>
  <c r="Q222" i="1" l="1"/>
  <c r="M223" i="1"/>
  <c r="S223" i="1" s="1"/>
  <c r="N223" i="1" l="1"/>
  <c r="O223" i="1" s="1"/>
  <c r="Q223" i="1" l="1"/>
  <c r="M224" i="1"/>
  <c r="S224" i="1" s="1"/>
  <c r="N224" i="1" l="1"/>
  <c r="O224" i="1" s="1"/>
  <c r="Q224" i="1" l="1"/>
  <c r="M225" i="1"/>
  <c r="S225" i="1" s="1"/>
  <c r="N225" i="1" l="1"/>
  <c r="O225" i="1" s="1"/>
  <c r="Q225" i="1" l="1"/>
  <c r="M226" i="1"/>
  <c r="S226" i="1" s="1"/>
  <c r="N226" i="1" l="1"/>
  <c r="O226" i="1" s="1"/>
  <c r="Q226" i="1" l="1"/>
  <c r="M227" i="1"/>
  <c r="S227" i="1" s="1"/>
  <c r="N227" i="1" l="1"/>
  <c r="O227" i="1" s="1"/>
  <c r="Q227" i="1" l="1"/>
  <c r="M228" i="1"/>
  <c r="S228" i="1" s="1"/>
  <c r="N228" i="1" l="1"/>
  <c r="O228" i="1" s="1"/>
  <c r="Q228" i="1" l="1"/>
  <c r="M229" i="1"/>
  <c r="S229" i="1" s="1"/>
  <c r="N229" i="1" l="1"/>
  <c r="O229" i="1" s="1"/>
  <c r="Q229" i="1" l="1"/>
  <c r="M230" i="1"/>
  <c r="S230" i="1" s="1"/>
  <c r="N230" i="1" l="1"/>
  <c r="O230" i="1" s="1"/>
  <c r="Q230" i="1" l="1"/>
  <c r="M231" i="1"/>
  <c r="S231" i="1" s="1"/>
  <c r="N231" i="1" l="1"/>
  <c r="O231" i="1" s="1"/>
  <c r="Q231" i="1" l="1"/>
  <c r="M232" i="1"/>
  <c r="S232" i="1" s="1"/>
  <c r="N232" i="1" l="1"/>
  <c r="O232" i="1" s="1"/>
  <c r="Q232" i="1" l="1"/>
  <c r="M233" i="1"/>
  <c r="S233" i="1" s="1"/>
  <c r="N233" i="1" l="1"/>
  <c r="O233" i="1" s="1"/>
  <c r="Q233" i="1" l="1"/>
  <c r="M234" i="1"/>
  <c r="S234" i="1" s="1"/>
  <c r="N234" i="1" l="1"/>
  <c r="O234" i="1" s="1"/>
  <c r="Q234" i="1" l="1"/>
  <c r="M235" i="1"/>
  <c r="S235" i="1" s="1"/>
  <c r="N235" i="1" l="1"/>
  <c r="O235" i="1" s="1"/>
  <c r="Q235" i="1" l="1"/>
  <c r="M236" i="1"/>
  <c r="S236" i="1" s="1"/>
  <c r="N236" i="1" l="1"/>
  <c r="O236" i="1" s="1"/>
  <c r="Q236" i="1" l="1"/>
  <c r="M237" i="1"/>
  <c r="S237" i="1" s="1"/>
  <c r="N237" i="1" l="1"/>
  <c r="O237" i="1" s="1"/>
  <c r="Q237" i="1" l="1"/>
  <c r="M238" i="1"/>
  <c r="S238" i="1" s="1"/>
  <c r="N238" i="1" l="1"/>
  <c r="O238" i="1" s="1"/>
  <c r="Q238" i="1" l="1"/>
  <c r="M239" i="1"/>
  <c r="S239" i="1" s="1"/>
  <c r="N239" i="1" l="1"/>
  <c r="O239" i="1" s="1"/>
  <c r="Q239" i="1" l="1"/>
  <c r="M240" i="1"/>
  <c r="S240" i="1" s="1"/>
  <c r="N240" i="1" l="1"/>
  <c r="O240" i="1" s="1"/>
  <c r="Q240" i="1" l="1"/>
  <c r="M241" i="1"/>
  <c r="S241" i="1" s="1"/>
  <c r="N241" i="1" l="1"/>
  <c r="O241" i="1" s="1"/>
  <c r="Q241" i="1" l="1"/>
  <c r="M242" i="1"/>
  <c r="S242" i="1" s="1"/>
  <c r="N242" i="1" l="1"/>
  <c r="O242" i="1" s="1"/>
  <c r="Q242" i="1" l="1"/>
  <c r="M243" i="1"/>
  <c r="S243" i="1" s="1"/>
  <c r="N243" i="1" l="1"/>
  <c r="O243" i="1" s="1"/>
  <c r="Q243" i="1" l="1"/>
  <c r="M244" i="1"/>
  <c r="S244" i="1" s="1"/>
  <c r="N244" i="1" l="1"/>
  <c r="O244" i="1" s="1"/>
  <c r="Q244" i="1" l="1"/>
  <c r="M245" i="1"/>
  <c r="S245" i="1" s="1"/>
  <c r="N245" i="1" l="1"/>
  <c r="O245" i="1" s="1"/>
  <c r="Q245" i="1" l="1"/>
  <c r="M246" i="1"/>
  <c r="S246" i="1" s="1"/>
  <c r="N246" i="1" l="1"/>
  <c r="O246" i="1" s="1"/>
  <c r="Q246" i="1" l="1"/>
  <c r="M247" i="1"/>
  <c r="S247" i="1" s="1"/>
  <c r="N247" i="1" l="1"/>
  <c r="O247" i="1" s="1"/>
  <c r="Q247" i="1" l="1"/>
  <c r="M248" i="1"/>
  <c r="S248" i="1" s="1"/>
  <c r="N248" i="1" l="1"/>
  <c r="O248" i="1" s="1"/>
  <c r="Q248" i="1" l="1"/>
  <c r="M249" i="1"/>
  <c r="S249" i="1" s="1"/>
  <c r="N249" i="1" l="1"/>
  <c r="O249" i="1" s="1"/>
  <c r="Q249" i="1" l="1"/>
  <c r="M250" i="1"/>
  <c r="S250" i="1" s="1"/>
  <c r="N250" i="1" l="1"/>
  <c r="O250" i="1" s="1"/>
  <c r="Q250" i="1" l="1"/>
  <c r="M251" i="1"/>
  <c r="S251" i="1" s="1"/>
  <c r="N251" i="1" l="1"/>
  <c r="O251" i="1" s="1"/>
  <c r="Q251" i="1" l="1"/>
  <c r="M252" i="1"/>
  <c r="S252" i="1" s="1"/>
  <c r="N252" i="1" l="1"/>
  <c r="O252" i="1" s="1"/>
  <c r="Q252" i="1" l="1"/>
  <c r="M253" i="1"/>
  <c r="S253" i="1" s="1"/>
  <c r="N253" i="1" l="1"/>
  <c r="O253" i="1" s="1"/>
  <c r="Q253" i="1" l="1"/>
  <c r="M254" i="1"/>
  <c r="S254" i="1" s="1"/>
  <c r="N254" i="1" l="1"/>
  <c r="O254" i="1" s="1"/>
  <c r="Q254" i="1" l="1"/>
  <c r="M255" i="1"/>
  <c r="S255" i="1" s="1"/>
  <c r="N255" i="1" l="1"/>
  <c r="O255" i="1" s="1"/>
  <c r="Q255" i="1" l="1"/>
  <c r="M256" i="1"/>
  <c r="S256" i="1" s="1"/>
  <c r="N256" i="1" l="1"/>
  <c r="O256" i="1" s="1"/>
  <c r="Q256" i="1" l="1"/>
  <c r="M257" i="1"/>
  <c r="S257" i="1" s="1"/>
  <c r="N257" i="1" l="1"/>
  <c r="O257" i="1" s="1"/>
  <c r="Q257" i="1" l="1"/>
  <c r="M258" i="1"/>
  <c r="S258" i="1" s="1"/>
  <c r="N258" i="1" l="1"/>
  <c r="O258" i="1" s="1"/>
  <c r="Q258" i="1" l="1"/>
  <c r="M259" i="1"/>
  <c r="S259" i="1" s="1"/>
  <c r="N259" i="1" l="1"/>
  <c r="O259" i="1" s="1"/>
  <c r="Q259" i="1" l="1"/>
  <c r="M260" i="1"/>
  <c r="S260" i="1" s="1"/>
  <c r="N260" i="1" l="1"/>
  <c r="O260" i="1" s="1"/>
  <c r="Q260" i="1" l="1"/>
  <c r="M261" i="1"/>
  <c r="S261" i="1" s="1"/>
  <c r="N261" i="1" l="1"/>
  <c r="O261" i="1" s="1"/>
  <c r="Q261" i="1" l="1"/>
  <c r="M262" i="1"/>
  <c r="S262" i="1" s="1"/>
  <c r="N262" i="1" l="1"/>
  <c r="O262" i="1" s="1"/>
  <c r="Q262" i="1" l="1"/>
  <c r="M263" i="1"/>
  <c r="S263" i="1" s="1"/>
  <c r="N263" i="1" l="1"/>
  <c r="O263" i="1" s="1"/>
  <c r="Q263" i="1" l="1"/>
  <c r="M264" i="1"/>
  <c r="S264" i="1" s="1"/>
  <c r="N264" i="1" l="1"/>
  <c r="O264" i="1" s="1"/>
  <c r="Q264" i="1" l="1"/>
  <c r="M265" i="1"/>
  <c r="S265" i="1" s="1"/>
  <c r="N265" i="1" l="1"/>
  <c r="O265" i="1" s="1"/>
  <c r="Q265" i="1" l="1"/>
  <c r="M266" i="1"/>
  <c r="S266" i="1" s="1"/>
  <c r="N266" i="1" l="1"/>
  <c r="O266" i="1" s="1"/>
  <c r="Q266" i="1" l="1"/>
  <c r="M267" i="1"/>
  <c r="S267" i="1" s="1"/>
  <c r="N267" i="1" l="1"/>
  <c r="O267" i="1" s="1"/>
  <c r="Q267" i="1" l="1"/>
  <c r="M268" i="1"/>
  <c r="S268" i="1" s="1"/>
  <c r="N268" i="1" l="1"/>
  <c r="O268" i="1" s="1"/>
  <c r="Q268" i="1" l="1"/>
  <c r="M269" i="1"/>
  <c r="S269" i="1" s="1"/>
  <c r="N269" i="1" l="1"/>
  <c r="O269" i="1" s="1"/>
  <c r="Q269" i="1" l="1"/>
  <c r="M270" i="1"/>
  <c r="S270" i="1" s="1"/>
  <c r="N270" i="1" l="1"/>
  <c r="O270" i="1" s="1"/>
  <c r="Q270" i="1" l="1"/>
  <c r="M271" i="1"/>
  <c r="S271" i="1" s="1"/>
  <c r="N271" i="1" l="1"/>
  <c r="O271" i="1" s="1"/>
  <c r="Q271" i="1" l="1"/>
  <c r="M272" i="1"/>
  <c r="S272" i="1" s="1"/>
  <c r="N272" i="1" l="1"/>
  <c r="O272" i="1" s="1"/>
  <c r="Q272" i="1" l="1"/>
  <c r="M273" i="1"/>
  <c r="S273" i="1" s="1"/>
  <c r="N273" i="1" l="1"/>
  <c r="O273" i="1" s="1"/>
  <c r="Q273" i="1" l="1"/>
  <c r="M274" i="1"/>
  <c r="S274" i="1" s="1"/>
  <c r="N274" i="1" l="1"/>
  <c r="O274" i="1" s="1"/>
  <c r="Q274" i="1" l="1"/>
  <c r="M275" i="1"/>
  <c r="S275" i="1" s="1"/>
  <c r="N275" i="1" l="1"/>
  <c r="O275" i="1" s="1"/>
  <c r="Q275" i="1" l="1"/>
  <c r="M276" i="1"/>
  <c r="S276" i="1" s="1"/>
  <c r="N276" i="1" l="1"/>
  <c r="O276" i="1" s="1"/>
  <c r="Q276" i="1" l="1"/>
  <c r="M277" i="1"/>
  <c r="S277" i="1" s="1"/>
  <c r="N277" i="1" l="1"/>
  <c r="O277" i="1" s="1"/>
  <c r="Q277" i="1" l="1"/>
  <c r="M278" i="1"/>
  <c r="S278" i="1" s="1"/>
  <c r="N278" i="1" l="1"/>
  <c r="O278" i="1" s="1"/>
  <c r="Q278" i="1" l="1"/>
  <c r="M279" i="1"/>
  <c r="S279" i="1" s="1"/>
  <c r="N279" i="1" l="1"/>
  <c r="O279" i="1" s="1"/>
  <c r="Q279" i="1" l="1"/>
  <c r="M280" i="1"/>
  <c r="S280" i="1" s="1"/>
  <c r="N280" i="1" l="1"/>
  <c r="O280" i="1" s="1"/>
  <c r="Q280" i="1" l="1"/>
  <c r="M281" i="1"/>
  <c r="S281" i="1" s="1"/>
  <c r="N281" i="1" l="1"/>
  <c r="O281" i="1" s="1"/>
  <c r="Q281" i="1" l="1"/>
  <c r="M282" i="1"/>
  <c r="S282" i="1" s="1"/>
  <c r="N282" i="1" l="1"/>
  <c r="O282" i="1" s="1"/>
  <c r="Q282" i="1" l="1"/>
  <c r="M283" i="1"/>
  <c r="S283" i="1" s="1"/>
  <c r="N283" i="1" l="1"/>
  <c r="O283" i="1" s="1"/>
  <c r="Q283" i="1" l="1"/>
  <c r="M284" i="1"/>
  <c r="S284" i="1" s="1"/>
  <c r="N284" i="1" l="1"/>
  <c r="O284" i="1" s="1"/>
  <c r="Q284" i="1" l="1"/>
  <c r="M285" i="1"/>
  <c r="S285" i="1" s="1"/>
  <c r="N285" i="1" l="1"/>
  <c r="O285" i="1" s="1"/>
  <c r="Q285" i="1" l="1"/>
  <c r="M286" i="1"/>
  <c r="S286" i="1" s="1"/>
  <c r="N286" i="1" l="1"/>
  <c r="O286" i="1" s="1"/>
  <c r="Q286" i="1" l="1"/>
  <c r="M287" i="1"/>
  <c r="S287" i="1" s="1"/>
  <c r="N287" i="1" l="1"/>
  <c r="O287" i="1" s="1"/>
  <c r="Q287" i="1" l="1"/>
  <c r="M288" i="1"/>
  <c r="S288" i="1" s="1"/>
  <c r="N288" i="1" l="1"/>
  <c r="O288" i="1" s="1"/>
  <c r="Q288" i="1" l="1"/>
  <c r="M289" i="1"/>
  <c r="S289" i="1" s="1"/>
  <c r="N289" i="1" l="1"/>
  <c r="O289" i="1" s="1"/>
  <c r="Q289" i="1" l="1"/>
  <c r="M290" i="1"/>
  <c r="S290" i="1" s="1"/>
  <c r="N290" i="1" l="1"/>
  <c r="O290" i="1" s="1"/>
  <c r="Q290" i="1" l="1"/>
  <c r="M291" i="1"/>
  <c r="S291" i="1" s="1"/>
  <c r="N291" i="1" l="1"/>
  <c r="O291" i="1" s="1"/>
  <c r="Q291" i="1" l="1"/>
  <c r="M292" i="1"/>
  <c r="S292" i="1" s="1"/>
  <c r="N292" i="1" l="1"/>
  <c r="O292" i="1" s="1"/>
  <c r="Q292" i="1" l="1"/>
  <c r="M293" i="1"/>
  <c r="S293" i="1" s="1"/>
  <c r="N293" i="1" l="1"/>
  <c r="O293" i="1" s="1"/>
  <c r="Q293" i="1" l="1"/>
  <c r="M294" i="1"/>
  <c r="S294" i="1" s="1"/>
  <c r="N294" i="1" l="1"/>
  <c r="O294" i="1" s="1"/>
  <c r="Q294" i="1" l="1"/>
  <c r="M295" i="1"/>
  <c r="S295" i="1" s="1"/>
  <c r="N295" i="1" l="1"/>
  <c r="O295" i="1" s="1"/>
  <c r="Q295" i="1" l="1"/>
  <c r="M296" i="1"/>
  <c r="S296" i="1" s="1"/>
  <c r="N296" i="1" l="1"/>
  <c r="O296" i="1" s="1"/>
  <c r="Q296" i="1" l="1"/>
  <c r="M297" i="1"/>
  <c r="S297" i="1" s="1"/>
  <c r="N297" i="1" l="1"/>
  <c r="O297" i="1" s="1"/>
  <c r="Q297" i="1" l="1"/>
  <c r="M298" i="1"/>
  <c r="S298" i="1" s="1"/>
  <c r="N298" i="1" l="1"/>
  <c r="O298" i="1" s="1"/>
  <c r="Q298" i="1" l="1"/>
  <c r="M299" i="1"/>
  <c r="S299" i="1" s="1"/>
  <c r="N299" i="1" l="1"/>
  <c r="O299" i="1" s="1"/>
  <c r="Q299" i="1" l="1"/>
  <c r="M300" i="1"/>
  <c r="S300" i="1" s="1"/>
  <c r="N300" i="1" l="1"/>
  <c r="O300" i="1" s="1"/>
  <c r="Q300" i="1" l="1"/>
  <c r="M301" i="1"/>
  <c r="S301" i="1" s="1"/>
  <c r="N301" i="1" l="1"/>
  <c r="O301" i="1" s="1"/>
  <c r="Q301" i="1" l="1"/>
  <c r="M302" i="1"/>
  <c r="S302" i="1" s="1"/>
  <c r="N302" i="1" l="1"/>
  <c r="O302" i="1" s="1"/>
  <c r="Q302" i="1" l="1"/>
  <c r="M303" i="1"/>
  <c r="S303" i="1" s="1"/>
  <c r="N303" i="1" l="1"/>
  <c r="O303" i="1" s="1"/>
  <c r="Q303" i="1" l="1"/>
  <c r="M304" i="1"/>
  <c r="S304" i="1" s="1"/>
  <c r="N304" i="1" l="1"/>
  <c r="O304" i="1" s="1"/>
  <c r="Q304" i="1" l="1"/>
  <c r="M305" i="1"/>
  <c r="S305" i="1" s="1"/>
  <c r="N305" i="1" l="1"/>
  <c r="O305" i="1" s="1"/>
  <c r="Q305" i="1" l="1"/>
  <c r="M306" i="1"/>
  <c r="S306" i="1" s="1"/>
  <c r="N306" i="1" l="1"/>
  <c r="O306" i="1" s="1"/>
  <c r="Q306" i="1" l="1"/>
  <c r="M307" i="1"/>
  <c r="S307" i="1" s="1"/>
  <c r="N307" i="1" l="1"/>
  <c r="O307" i="1" s="1"/>
  <c r="Q307" i="1" l="1"/>
  <c r="M308" i="1"/>
  <c r="S308" i="1" s="1"/>
  <c r="N308" i="1" l="1"/>
  <c r="O308" i="1" s="1"/>
  <c r="Q308" i="1" l="1"/>
  <c r="M309" i="1"/>
  <c r="S309" i="1" s="1"/>
  <c r="N309" i="1" l="1"/>
  <c r="O309" i="1" s="1"/>
  <c r="Q309" i="1" l="1"/>
  <c r="M310" i="1"/>
  <c r="S310" i="1" s="1"/>
  <c r="N310" i="1" l="1"/>
  <c r="O310" i="1" s="1"/>
  <c r="Q310" i="1" l="1"/>
  <c r="M311" i="1"/>
  <c r="S311" i="1" s="1"/>
  <c r="N311" i="1" l="1"/>
  <c r="O311" i="1" s="1"/>
  <c r="Q311" i="1" l="1"/>
  <c r="M312" i="1"/>
  <c r="S312" i="1" s="1"/>
  <c r="N312" i="1" l="1"/>
  <c r="O312" i="1" s="1"/>
  <c r="Q312" i="1" l="1"/>
  <c r="M313" i="1"/>
  <c r="S313" i="1" s="1"/>
  <c r="N313" i="1" l="1"/>
  <c r="O313" i="1" s="1"/>
  <c r="Q313" i="1" l="1"/>
  <c r="M314" i="1"/>
  <c r="S314" i="1" s="1"/>
  <c r="N314" i="1" l="1"/>
  <c r="O314" i="1" s="1"/>
  <c r="Q314" i="1" l="1"/>
  <c r="M315" i="1"/>
  <c r="S315" i="1" s="1"/>
  <c r="N315" i="1" l="1"/>
  <c r="O315" i="1" s="1"/>
  <c r="Q315" i="1" l="1"/>
  <c r="M316" i="1"/>
  <c r="S316" i="1" s="1"/>
  <c r="N316" i="1" l="1"/>
  <c r="O316" i="1" s="1"/>
  <c r="Q316" i="1" l="1"/>
  <c r="M317" i="1"/>
  <c r="S317" i="1" s="1"/>
  <c r="N317" i="1" l="1"/>
  <c r="O317" i="1" s="1"/>
  <c r="Q317" i="1" l="1"/>
  <c r="M318" i="1"/>
  <c r="S318" i="1" s="1"/>
  <c r="N318" i="1" l="1"/>
  <c r="O318" i="1" s="1"/>
  <c r="Q318" i="1" l="1"/>
  <c r="M319" i="1"/>
  <c r="S319" i="1" s="1"/>
  <c r="N319" i="1" l="1"/>
  <c r="O319" i="1" s="1"/>
  <c r="Q319" i="1" l="1"/>
  <c r="M320" i="1"/>
  <c r="S320" i="1" s="1"/>
  <c r="N320" i="1" l="1"/>
  <c r="O320" i="1" s="1"/>
  <c r="Q320" i="1" l="1"/>
  <c r="M321" i="1"/>
  <c r="S321" i="1" s="1"/>
  <c r="N321" i="1" l="1"/>
  <c r="O321" i="1" s="1"/>
  <c r="Q321" i="1" l="1"/>
  <c r="M322" i="1"/>
  <c r="S322" i="1" s="1"/>
  <c r="N322" i="1" l="1"/>
  <c r="O322" i="1" s="1"/>
  <c r="Q322" i="1" l="1"/>
  <c r="M323" i="1"/>
  <c r="S323" i="1" s="1"/>
  <c r="N323" i="1" l="1"/>
  <c r="O323" i="1" s="1"/>
  <c r="Q323" i="1" l="1"/>
  <c r="M324" i="1"/>
  <c r="S324" i="1" s="1"/>
  <c r="N324" i="1" l="1"/>
  <c r="O324" i="1" s="1"/>
  <c r="Q324" i="1" l="1"/>
  <c r="M325" i="1"/>
  <c r="S325" i="1" s="1"/>
  <c r="N325" i="1" l="1"/>
  <c r="O325" i="1" s="1"/>
  <c r="Q325" i="1" l="1"/>
  <c r="M326" i="1"/>
  <c r="S326" i="1" s="1"/>
  <c r="N326" i="1" l="1"/>
  <c r="O326" i="1" s="1"/>
  <c r="Q326" i="1" l="1"/>
  <c r="M327" i="1"/>
  <c r="S327" i="1" s="1"/>
  <c r="N327" i="1" l="1"/>
  <c r="O327" i="1" s="1"/>
  <c r="Q327" i="1" l="1"/>
  <c r="M328" i="1"/>
  <c r="S328" i="1" s="1"/>
  <c r="N328" i="1" l="1"/>
  <c r="O328" i="1" s="1"/>
  <c r="Q328" i="1" l="1"/>
  <c r="M329" i="1"/>
  <c r="S329" i="1" s="1"/>
  <c r="N329" i="1" l="1"/>
  <c r="O329" i="1" s="1"/>
  <c r="Q329" i="1" l="1"/>
  <c r="M330" i="1"/>
  <c r="S330" i="1" s="1"/>
  <c r="N330" i="1" l="1"/>
  <c r="O330" i="1" s="1"/>
  <c r="Q330" i="1" l="1"/>
  <c r="M331" i="1"/>
  <c r="S331" i="1" s="1"/>
  <c r="N331" i="1" l="1"/>
  <c r="O331" i="1" s="1"/>
  <c r="Q331" i="1" l="1"/>
  <c r="M332" i="1"/>
  <c r="S332" i="1" s="1"/>
  <c r="N332" i="1" l="1"/>
  <c r="O332" i="1" s="1"/>
  <c r="Q332" i="1" l="1"/>
  <c r="M333" i="1"/>
  <c r="S333" i="1" s="1"/>
  <c r="N333" i="1" l="1"/>
  <c r="O333" i="1" s="1"/>
  <c r="Q333" i="1" l="1"/>
  <c r="M334" i="1"/>
  <c r="S334" i="1" s="1"/>
  <c r="N334" i="1" l="1"/>
  <c r="O334" i="1" s="1"/>
  <c r="Q334" i="1" l="1"/>
  <c r="M335" i="1"/>
  <c r="S335" i="1" s="1"/>
  <c r="N335" i="1" l="1"/>
  <c r="O335" i="1" s="1"/>
  <c r="Q335" i="1" l="1"/>
  <c r="M336" i="1"/>
  <c r="S336" i="1" s="1"/>
  <c r="N336" i="1" l="1"/>
  <c r="O336" i="1" s="1"/>
  <c r="Q336" i="1" l="1"/>
  <c r="M337" i="1"/>
  <c r="S337" i="1" s="1"/>
  <c r="N337" i="1" l="1"/>
  <c r="O337" i="1" s="1"/>
  <c r="Q337" i="1" l="1"/>
  <c r="M338" i="1"/>
  <c r="S338" i="1" s="1"/>
  <c r="N338" i="1" l="1"/>
  <c r="O338" i="1" s="1"/>
  <c r="Q338" i="1" l="1"/>
  <c r="M339" i="1"/>
  <c r="S339" i="1" s="1"/>
  <c r="N339" i="1" l="1"/>
  <c r="O339" i="1" s="1"/>
  <c r="Q339" i="1" l="1"/>
  <c r="M340" i="1"/>
  <c r="S340" i="1" s="1"/>
  <c r="N340" i="1" l="1"/>
  <c r="O340" i="1" s="1"/>
  <c r="Q340" i="1" l="1"/>
  <c r="M341" i="1"/>
  <c r="S341" i="1" s="1"/>
  <c r="N341" i="1" l="1"/>
  <c r="O341" i="1" s="1"/>
  <c r="Q341" i="1" l="1"/>
  <c r="M342" i="1"/>
  <c r="S342" i="1" s="1"/>
  <c r="N342" i="1" l="1"/>
  <c r="O342" i="1" s="1"/>
  <c r="Q342" i="1" l="1"/>
  <c r="M343" i="1"/>
  <c r="S343" i="1" s="1"/>
  <c r="N343" i="1" l="1"/>
  <c r="O343" i="1" s="1"/>
  <c r="Q343" i="1" l="1"/>
  <c r="M344" i="1"/>
  <c r="S344" i="1" s="1"/>
  <c r="N344" i="1" l="1"/>
  <c r="O344" i="1" s="1"/>
  <c r="Q344" i="1" l="1"/>
  <c r="M345" i="1"/>
  <c r="S345" i="1" s="1"/>
  <c r="N345" i="1" l="1"/>
  <c r="O345" i="1" s="1"/>
  <c r="Q345" i="1" l="1"/>
  <c r="M346" i="1"/>
  <c r="S346" i="1" s="1"/>
  <c r="N346" i="1" l="1"/>
  <c r="O346" i="1" s="1"/>
  <c r="Q346" i="1" l="1"/>
  <c r="M347" i="1"/>
  <c r="S347" i="1" s="1"/>
  <c r="N347" i="1" l="1"/>
  <c r="O347" i="1" s="1"/>
  <c r="Q347" i="1" l="1"/>
  <c r="M348" i="1"/>
  <c r="S348" i="1" s="1"/>
  <c r="N348" i="1" l="1"/>
  <c r="O348" i="1" s="1"/>
  <c r="Q348" i="1" l="1"/>
  <c r="M349" i="1"/>
  <c r="S349" i="1" s="1"/>
  <c r="N349" i="1" l="1"/>
  <c r="O349" i="1" s="1"/>
  <c r="Q349" i="1" l="1"/>
  <c r="M350" i="1"/>
  <c r="S350" i="1" s="1"/>
  <c r="N350" i="1" l="1"/>
  <c r="O350" i="1" s="1"/>
  <c r="Q350" i="1" l="1"/>
  <c r="M351" i="1"/>
  <c r="S351" i="1" s="1"/>
  <c r="N351" i="1" l="1"/>
  <c r="O351" i="1" s="1"/>
  <c r="Q351" i="1" l="1"/>
  <c r="M352" i="1"/>
  <c r="S352" i="1" s="1"/>
  <c r="N352" i="1" l="1"/>
  <c r="O352" i="1" s="1"/>
  <c r="Q352" i="1" l="1"/>
  <c r="M353" i="1"/>
  <c r="S353" i="1" s="1"/>
  <c r="N353" i="1" l="1"/>
  <c r="O353" i="1" s="1"/>
  <c r="Q353" i="1" l="1"/>
  <c r="M354" i="1"/>
  <c r="S354" i="1" s="1"/>
  <c r="N354" i="1" l="1"/>
  <c r="O354" i="1" s="1"/>
  <c r="Q354" i="1" l="1"/>
  <c r="M355" i="1"/>
  <c r="S355" i="1" s="1"/>
  <c r="N355" i="1" l="1"/>
  <c r="O355" i="1" s="1"/>
  <c r="Q355" i="1" l="1"/>
  <c r="M356" i="1"/>
  <c r="S356" i="1" s="1"/>
  <c r="N356" i="1" l="1"/>
  <c r="O356" i="1" s="1"/>
  <c r="Q356" i="1" l="1"/>
  <c r="M357" i="1"/>
  <c r="S357" i="1" s="1"/>
  <c r="N357" i="1" l="1"/>
  <c r="O357" i="1" s="1"/>
  <c r="Q357" i="1" l="1"/>
  <c r="M358" i="1"/>
  <c r="S358" i="1" s="1"/>
  <c r="N358" i="1" l="1"/>
  <c r="O358" i="1" s="1"/>
  <c r="Q358" i="1" l="1"/>
  <c r="M359" i="1"/>
  <c r="S359" i="1" s="1"/>
  <c r="N359" i="1" l="1"/>
  <c r="O359" i="1" s="1"/>
  <c r="Q359" i="1" l="1"/>
  <c r="M360" i="1"/>
  <c r="S360" i="1" s="1"/>
  <c r="N360" i="1" l="1"/>
  <c r="O360" i="1" s="1"/>
  <c r="Q360" i="1" l="1"/>
  <c r="M361" i="1"/>
  <c r="S361" i="1" s="1"/>
  <c r="N361" i="1" l="1"/>
  <c r="O361" i="1" s="1"/>
  <c r="Q361" i="1" l="1"/>
  <c r="M362" i="1"/>
  <c r="S362" i="1" s="1"/>
  <c r="N362" i="1" l="1"/>
  <c r="O362" i="1" s="1"/>
  <c r="Q362" i="1" l="1"/>
  <c r="M363" i="1"/>
  <c r="S363" i="1" s="1"/>
  <c r="N363" i="1" l="1"/>
  <c r="O363" i="1" s="1"/>
  <c r="Q363" i="1" l="1"/>
  <c r="M364" i="1"/>
  <c r="S364" i="1" s="1"/>
  <c r="N364" i="1" l="1"/>
  <c r="O364" i="1" s="1"/>
  <c r="Q364" i="1" l="1"/>
  <c r="M365" i="1"/>
  <c r="S365" i="1" s="1"/>
  <c r="N365" i="1" l="1"/>
  <c r="O365" i="1" s="1"/>
  <c r="Q365" i="1" l="1"/>
  <c r="M366" i="1"/>
  <c r="S366" i="1" s="1"/>
  <c r="N366" i="1" l="1"/>
  <c r="O366" i="1" s="1"/>
  <c r="Q366" i="1" l="1"/>
  <c r="M367" i="1"/>
  <c r="S367" i="1" s="1"/>
  <c r="N367" i="1" l="1"/>
  <c r="O367" i="1" s="1"/>
  <c r="Q367" i="1" l="1"/>
  <c r="M368" i="1"/>
  <c r="S368" i="1" s="1"/>
  <c r="N368" i="1" l="1"/>
  <c r="O368" i="1" s="1"/>
  <c r="Q368" i="1" l="1"/>
  <c r="M369" i="1"/>
  <c r="S369" i="1" s="1"/>
  <c r="N369" i="1" l="1"/>
  <c r="O369" i="1" s="1"/>
  <c r="Q369" i="1" l="1"/>
  <c r="M370" i="1"/>
  <c r="S370" i="1" s="1"/>
  <c r="N370" i="1" l="1"/>
  <c r="O370" i="1" s="1"/>
  <c r="Q370" i="1" s="1"/>
</calcChain>
</file>

<file path=xl/sharedStrings.xml><?xml version="1.0" encoding="utf-8"?>
<sst xmlns="http://schemas.openxmlformats.org/spreadsheetml/2006/main" count="35" uniqueCount="22">
  <si>
    <t>Interest Rate</t>
  </si>
  <si>
    <t>Deposit</t>
  </si>
  <si>
    <t>Tax Rate</t>
  </si>
  <si>
    <t>Inflation</t>
  </si>
  <si>
    <t>Price</t>
  </si>
  <si>
    <t>Principal</t>
  </si>
  <si>
    <t>Appreciation</t>
  </si>
  <si>
    <t>Rates</t>
  </si>
  <si>
    <t>Body Corp</t>
  </si>
  <si>
    <t>Insurance</t>
  </si>
  <si>
    <t>Rental Yield</t>
  </si>
  <si>
    <t>House</t>
  </si>
  <si>
    <t>NA</t>
  </si>
  <si>
    <t>Apartment</t>
  </si>
  <si>
    <t>Month</t>
  </si>
  <si>
    <t>Mortgage</t>
  </si>
  <si>
    <t>Interest</t>
  </si>
  <si>
    <t>Loan</t>
  </si>
  <si>
    <t>Equity</t>
  </si>
  <si>
    <t>Other Costs</t>
  </si>
  <si>
    <t>Total Costs</t>
  </si>
  <si>
    <t>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</si>
</sst>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6" xfId="0" applyFill="1" applyBorder="1"/>
    <xf numFmtId="0" fontId="0" fillId="3" borderId="6" xfId="0" applyFill="1" applyBorder="1"/>
    <xf numFmtId="9" fontId="0" fillId="3" borderId="6" xfId="0" applyNumberFormat="1" applyFill="1" applyBorder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7" xfId="0" applyFill="1" applyBorder="1"/>
    <xf numFmtId="0" fontId="0" fillId="4" borderId="6" xfId="0" applyFill="1" applyBorder="1" applyAlignment="1">
      <alignment horizontal="center"/>
    </xf>
    <xf numFmtId="176" fontId="0" fillId="0" borderId="0" xfId="0" applyNumberFormat="1"/>
    <xf numFmtId="177" fontId="0" fillId="0" borderId="0" xfId="0" applyNumberFormat="1"/>
    <xf numFmtId="9" fontId="0" fillId="3" borderId="4" xfId="0" applyNumberFormat="1" applyFill="1" applyBorder="1"/>
    <xf numFmtId="9" fontId="0" fillId="5" borderId="6" xfId="0" applyNumberFormat="1" applyFill="1" applyBorder="1"/>
    <xf numFmtId="9" fontId="0" fillId="5" borderId="4" xfId="0" applyNumberFormat="1" applyFill="1" applyBorder="1"/>
    <xf numFmtId="0" fontId="1" fillId="2" borderId="6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0"/>
  <sheetViews>
    <sheetView tabSelected="1" workbookViewId="0">
      <pane xSplit="1" topLeftCell="B1" activePane="topRight" state="frozen"/>
      <selection pane="topRight" activeCell="J3" sqref="J3"/>
    </sheetView>
  </sheetViews>
  <sheetFormatPr defaultRowHeight="15"/>
  <cols>
    <col min="1" max="1" width="13.42578125" bestFit="1" customWidth="1"/>
    <col min="2" max="2" width="13.7109375" bestFit="1" customWidth="1"/>
    <col min="3" max="3" width="9.42578125" bestFit="1" customWidth="1"/>
    <col min="4" max="4" width="13.28515625" bestFit="1" customWidth="1"/>
    <col min="5" max="5" width="11.7109375" bestFit="1" customWidth="1"/>
    <col min="6" max="7" width="13" bestFit="1" customWidth="1"/>
    <col min="8" max="8" width="13.140625" bestFit="1" customWidth="1"/>
    <col min="9" max="9" width="10.140625" bestFit="1" customWidth="1"/>
    <col min="12" max="12" width="12.42578125" bestFit="1" customWidth="1"/>
    <col min="13" max="14" width="9.42578125" bestFit="1" customWidth="1"/>
    <col min="15" max="15" width="11.7109375" bestFit="1" customWidth="1"/>
    <col min="16" max="16" width="12.42578125" bestFit="1" customWidth="1"/>
    <col min="17" max="17" width="11.7109375" bestFit="1" customWidth="1"/>
    <col min="18" max="18" width="13.140625" bestFit="1" customWidth="1"/>
    <col min="19" max="19" width="10.140625" bestFit="1" customWidth="1"/>
    <col min="20" max="20" width="9.42578125" bestFit="1" customWidth="1"/>
  </cols>
  <sheetData>
    <row r="1" spans="1:21">
      <c r="A1" s="2" t="s">
        <v>0</v>
      </c>
      <c r="B1" s="6" t="s">
        <v>1</v>
      </c>
      <c r="C1" s="6" t="s">
        <v>2</v>
      </c>
      <c r="D1" s="2" t="s">
        <v>3</v>
      </c>
    </row>
    <row r="2" spans="1:21">
      <c r="A2" s="3">
        <v>0.04</v>
      </c>
      <c r="B2" s="13">
        <v>0.2</v>
      </c>
      <c r="C2" s="15">
        <v>0.3</v>
      </c>
      <c r="D2" s="14">
        <v>0.02</v>
      </c>
    </row>
    <row r="4" spans="1:21">
      <c r="A4" s="2"/>
      <c r="B4" s="9" t="s">
        <v>4</v>
      </c>
      <c r="C4" s="1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</row>
    <row r="5" spans="1:21">
      <c r="A5" s="8" t="s">
        <v>11</v>
      </c>
      <c r="B5" s="5">
        <v>1000000</v>
      </c>
      <c r="C5" s="5">
        <f>B5*(1-B2)</f>
        <v>800000</v>
      </c>
      <c r="D5" s="4">
        <v>0.02</v>
      </c>
      <c r="E5" s="3">
        <v>3258</v>
      </c>
      <c r="F5" s="10" t="s">
        <v>12</v>
      </c>
      <c r="G5" s="3">
        <f>190*12</f>
        <v>2280</v>
      </c>
      <c r="H5" s="4">
        <v>0.03</v>
      </c>
    </row>
    <row r="6" spans="1:21">
      <c r="A6" s="6" t="s">
        <v>13</v>
      </c>
      <c r="B6" s="5">
        <v>500000</v>
      </c>
      <c r="C6" s="5">
        <f>B6*(1-B2)</f>
        <v>400000</v>
      </c>
      <c r="D6" s="4">
        <v>0.02</v>
      </c>
      <c r="E6" s="3">
        <v>1455</v>
      </c>
      <c r="F6" s="3">
        <v>5400</v>
      </c>
      <c r="G6" s="3">
        <v>600</v>
      </c>
      <c r="H6" s="4">
        <v>0.05</v>
      </c>
    </row>
    <row r="9" spans="1:21">
      <c r="B9" s="17" t="s">
        <v>11</v>
      </c>
      <c r="C9" s="18"/>
      <c r="D9" s="18"/>
      <c r="E9" s="18"/>
      <c r="F9" s="18"/>
      <c r="G9" s="18"/>
      <c r="H9" s="18"/>
      <c r="I9" s="18"/>
      <c r="J9" s="18"/>
      <c r="L9" s="17" t="s">
        <v>13</v>
      </c>
      <c r="M9" s="18"/>
      <c r="N9" s="18"/>
      <c r="O9" s="18"/>
      <c r="P9" s="18"/>
      <c r="Q9" s="18"/>
      <c r="R9" s="19"/>
      <c r="S9" s="18"/>
      <c r="T9" s="18"/>
    </row>
    <row r="10" spans="1:21">
      <c r="A10" t="s">
        <v>14</v>
      </c>
      <c r="B10" s="2" t="s">
        <v>15</v>
      </c>
      <c r="C10" s="2" t="s">
        <v>16</v>
      </c>
      <c r="D10" s="2" t="s">
        <v>5</v>
      </c>
      <c r="E10" s="2" t="s">
        <v>17</v>
      </c>
      <c r="F10" s="2" t="s">
        <v>4</v>
      </c>
      <c r="G10" s="2" t="s">
        <v>18</v>
      </c>
      <c r="H10" s="2" t="s">
        <v>19</v>
      </c>
      <c r="I10" s="2" t="s">
        <v>20</v>
      </c>
      <c r="J10" s="2" t="s">
        <v>21</v>
      </c>
      <c r="L10" s="2" t="s">
        <v>15</v>
      </c>
      <c r="M10" s="2" t="s">
        <v>16</v>
      </c>
      <c r="N10" s="2" t="s">
        <v>5</v>
      </c>
      <c r="O10" s="2" t="s">
        <v>17</v>
      </c>
      <c r="P10" s="2" t="s">
        <v>4</v>
      </c>
      <c r="Q10" s="6" t="s">
        <v>18</v>
      </c>
      <c r="R10" s="16" t="s">
        <v>19</v>
      </c>
      <c r="S10" s="7" t="s">
        <v>20</v>
      </c>
      <c r="T10" s="2" t="s">
        <v>21</v>
      </c>
    </row>
    <row r="11" spans="1:21">
      <c r="A11">
        <v>1</v>
      </c>
      <c r="B11" s="12">
        <f>$C$5*($A$2/12*(1+$A$2/12)^(12*30))/((1+$A$2/12)^(30*12)-1)</f>
        <v>3819.3223637236229</v>
      </c>
      <c r="C11" s="12">
        <f>C5*A2/12</f>
        <v>2666.6666666666665</v>
      </c>
      <c r="D11" s="12">
        <f>B11-C11</f>
        <v>1152.6556970569563</v>
      </c>
      <c r="E11" s="12">
        <f>C5-D11</f>
        <v>798847.34430294309</v>
      </c>
      <c r="F11" s="12">
        <f>B5</f>
        <v>1000000</v>
      </c>
      <c r="G11" s="12">
        <f>F11-E11</f>
        <v>201152.65569705691</v>
      </c>
      <c r="H11" s="12">
        <f>-$E$5/12+-$G$5/12</f>
        <v>-461.5</v>
      </c>
      <c r="I11" s="12">
        <f>0-C11+H11</f>
        <v>-3128.1666666666665</v>
      </c>
      <c r="J11" s="12">
        <f>F11*$H$5/12*(1-$C$2)+I11</f>
        <v>-1378.1666666666665</v>
      </c>
      <c r="K11" s="12"/>
      <c r="L11" s="11">
        <f>$C$6*($A$2/12*(1+$A$2/12)^(12*30))/((1+$A$2/12)^(30*12)-1)</f>
        <v>1909.6611818618114</v>
      </c>
      <c r="M11" s="11">
        <f>C6*A2/12</f>
        <v>1333.3333333333333</v>
      </c>
      <c r="N11" s="11">
        <f>L11-M11</f>
        <v>576.32784852847817</v>
      </c>
      <c r="O11" s="11">
        <f>C6-N11</f>
        <v>399423.67215147155</v>
      </c>
      <c r="P11" s="11">
        <f>B6</f>
        <v>500000</v>
      </c>
      <c r="Q11" s="11">
        <f>P11-O11</f>
        <v>100576.32784852845</v>
      </c>
      <c r="R11" s="11">
        <f>-E6/12-F6/12-G6/12</f>
        <v>-621.25</v>
      </c>
      <c r="S11" s="11">
        <f>-M11+R11</f>
        <v>-1954.5833333333333</v>
      </c>
      <c r="T11" s="11">
        <f>P11*$H$6/12*(1-$C$2)+S11</f>
        <v>-496.25</v>
      </c>
    </row>
    <row r="12" spans="1:21">
      <c r="A12">
        <v>2</v>
      </c>
      <c r="B12" s="12">
        <f>$C$5*($A$2/12*(1+$A$2/12)^(12*30))/((1+$A$2/12)^(30*12)-1)</f>
        <v>3819.3223637236229</v>
      </c>
      <c r="C12" s="12">
        <f>E11*$A$2/12</f>
        <v>2662.8244810098104</v>
      </c>
      <c r="D12" s="12">
        <f>B12-C12</f>
        <v>1156.4978827138125</v>
      </c>
      <c r="E12" s="12">
        <f>E11-D12</f>
        <v>797690.8464202293</v>
      </c>
      <c r="F12" s="12">
        <f>F11*(1+$D$5/12)</f>
        <v>1001666.6666666667</v>
      </c>
      <c r="G12" s="12">
        <f>F12-E12</f>
        <v>203975.82024643745</v>
      </c>
      <c r="H12" s="12">
        <f>H11*(1+$D$2/12)</f>
        <v>-462.26916666666671</v>
      </c>
      <c r="I12" s="12">
        <f>0-C12+H12</f>
        <v>-3125.0936476764773</v>
      </c>
      <c r="J12" s="12">
        <f t="shared" ref="J12:J75" si="0">F12*$H$5/12*(1-$C$2)+I12</f>
        <v>-1372.1769810098108</v>
      </c>
      <c r="K12" s="12"/>
      <c r="L12" s="11">
        <f>$C$6*($A$2/12*(1+$A$2/12)^(12*30))/((1+$A$2/12)^(30*12)-1)</f>
        <v>1909.6611818618114</v>
      </c>
      <c r="M12" s="11">
        <f>O11*$A$2/12</f>
        <v>1331.4122405049052</v>
      </c>
      <c r="N12" s="11">
        <f>L12-M12</f>
        <v>578.24894135690624</v>
      </c>
      <c r="O12" s="11">
        <f>O11-N12</f>
        <v>398845.42321011465</v>
      </c>
      <c r="P12" s="11">
        <f>P11*(1+$D$6/12)</f>
        <v>500833.33333333337</v>
      </c>
      <c r="Q12" s="11">
        <f>P12-O12</f>
        <v>101987.91012321872</v>
      </c>
      <c r="R12" s="11">
        <f>R11*(1+$D$2/12)</f>
        <v>-622.28541666666672</v>
      </c>
      <c r="S12" s="11">
        <f>0-M12+R12</f>
        <v>-1953.6976571715718</v>
      </c>
      <c r="T12" s="11">
        <f t="shared" ref="T12:T75" si="1">P12*$H$6/12*(1-$C$2)+S12</f>
        <v>-492.93376828268265</v>
      </c>
      <c r="U12" s="12"/>
    </row>
    <row r="13" spans="1:21">
      <c r="A13">
        <v>3</v>
      </c>
      <c r="B13" s="12">
        <f t="shared" ref="B12:B75" si="2">$C$5*($A$2/12*(1+$A$2/12)^(12*30))/((1+$A$2/12)^(30*12)-1)</f>
        <v>3819.3223637236229</v>
      </c>
      <c r="C13" s="12">
        <f>E12*$A$2/12</f>
        <v>2658.969488067431</v>
      </c>
      <c r="D13" s="12">
        <f>B13-C13</f>
        <v>1160.3528756561918</v>
      </c>
      <c r="E13" s="12">
        <f>E12-D13</f>
        <v>796530.49354457308</v>
      </c>
      <c r="F13" s="12">
        <f t="shared" ref="F13:F76" si="3">F12*(1+$D$5/12)</f>
        <v>1003336.1111111112</v>
      </c>
      <c r="G13" s="12">
        <f t="shared" ref="G13:G76" si="4">F13-E13</f>
        <v>206805.61756653816</v>
      </c>
      <c r="H13" s="12">
        <f t="shared" ref="H13:H76" si="5">H12*(1+$D$2/12)</f>
        <v>-463.03961527777784</v>
      </c>
      <c r="I13" s="12">
        <f t="shared" ref="I13:I76" si="6">0-C13+H13</f>
        <v>-3122.009103345209</v>
      </c>
      <c r="J13" s="12">
        <f t="shared" si="0"/>
        <v>-1366.1709089007647</v>
      </c>
      <c r="K13" s="12"/>
      <c r="L13" s="11">
        <f t="shared" ref="L13:L76" si="7">$C$6*($A$2/12*(1+$A$2/12)^(12*30))/((1+$A$2/12)^(30*12)-1)</f>
        <v>1909.6611818618114</v>
      </c>
      <c r="M13" s="11">
        <f t="shared" ref="M13:M76" si="8">O12*$A$2/12</f>
        <v>1329.4847440337155</v>
      </c>
      <c r="N13" s="11">
        <f t="shared" ref="N13:N76" si="9">L13-M13</f>
        <v>580.17643782809591</v>
      </c>
      <c r="O13" s="11">
        <f t="shared" ref="O13:O76" si="10">O12-N13</f>
        <v>398265.24677228654</v>
      </c>
      <c r="P13" s="11">
        <f t="shared" ref="P13:P76" si="11">P12*(1+$D$6/12)</f>
        <v>501668.05555555562</v>
      </c>
      <c r="Q13" s="11">
        <f t="shared" ref="Q13:Q76" si="12">P13-O13</f>
        <v>103402.80878326908</v>
      </c>
      <c r="R13" s="11">
        <f t="shared" ref="R13:R76" si="13">R12*(1+$D$2/12)</f>
        <v>-623.32255902777786</v>
      </c>
      <c r="S13" s="11">
        <f t="shared" ref="S13:S76" si="14">0-M13+R13</f>
        <v>-1952.8073030614933</v>
      </c>
      <c r="T13" s="11">
        <f t="shared" si="1"/>
        <v>-489.60880769112259</v>
      </c>
    </row>
    <row r="14" spans="1:21">
      <c r="A14">
        <v>4</v>
      </c>
      <c r="B14" s="12">
        <f t="shared" si="2"/>
        <v>3819.3223637236229</v>
      </c>
      <c r="C14" s="12">
        <f t="shared" ref="C14:C77" si="15">E13*$A$2/12</f>
        <v>2655.1016451485771</v>
      </c>
      <c r="D14" s="12">
        <f t="shared" ref="D14:D77" si="16">B14-C14</f>
        <v>1164.2207185750458</v>
      </c>
      <c r="E14" s="12">
        <f t="shared" ref="E14:E77" si="17">E13-D14</f>
        <v>795366.27282599802</v>
      </c>
      <c r="F14" s="12">
        <f t="shared" si="3"/>
        <v>1005008.3379629632</v>
      </c>
      <c r="G14" s="12">
        <f t="shared" si="4"/>
        <v>209642.06513696513</v>
      </c>
      <c r="H14" s="12">
        <f t="shared" si="5"/>
        <v>-463.8113479699075</v>
      </c>
      <c r="I14" s="12">
        <f t="shared" si="6"/>
        <v>-3118.9129931184843</v>
      </c>
      <c r="J14" s="12">
        <f t="shared" si="0"/>
        <v>-1360.1484016832992</v>
      </c>
      <c r="K14" s="12"/>
      <c r="L14" s="11">
        <f t="shared" si="7"/>
        <v>1909.6611818618114</v>
      </c>
      <c r="M14" s="11">
        <f t="shared" si="8"/>
        <v>1327.5508225742885</v>
      </c>
      <c r="N14" s="11">
        <f t="shared" si="9"/>
        <v>582.1103592875229</v>
      </c>
      <c r="O14" s="11">
        <f t="shared" si="10"/>
        <v>397683.13641299901</v>
      </c>
      <c r="P14" s="11">
        <f t="shared" si="11"/>
        <v>502504.16898148158</v>
      </c>
      <c r="Q14" s="11">
        <f t="shared" si="12"/>
        <v>104821.03256848257</v>
      </c>
      <c r="R14" s="11">
        <f t="shared" si="13"/>
        <v>-624.36142995949081</v>
      </c>
      <c r="S14" s="11">
        <f t="shared" si="14"/>
        <v>-1951.9122525337793</v>
      </c>
      <c r="T14" s="11">
        <f t="shared" si="1"/>
        <v>-486.27509300445809</v>
      </c>
    </row>
    <row r="15" spans="1:21">
      <c r="A15">
        <v>5</v>
      </c>
      <c r="B15" s="12">
        <f t="shared" si="2"/>
        <v>3819.3223637236229</v>
      </c>
      <c r="C15" s="12">
        <f t="shared" si="15"/>
        <v>2651.2209094199934</v>
      </c>
      <c r="D15" s="12">
        <f t="shared" si="16"/>
        <v>1168.1014543036295</v>
      </c>
      <c r="E15" s="12">
        <f t="shared" si="17"/>
        <v>794198.17137169442</v>
      </c>
      <c r="F15" s="12">
        <f t="shared" si="3"/>
        <v>1006683.3518595682</v>
      </c>
      <c r="G15" s="12">
        <f t="shared" si="4"/>
        <v>212485.18048787373</v>
      </c>
      <c r="H15" s="12">
        <f t="shared" si="5"/>
        <v>-464.58436688319068</v>
      </c>
      <c r="I15" s="12">
        <f t="shared" si="6"/>
        <v>-3115.8052763031842</v>
      </c>
      <c r="J15" s="12">
        <f t="shared" si="0"/>
        <v>-1354.1094105489403</v>
      </c>
      <c r="K15" s="12"/>
      <c r="L15" s="11">
        <f t="shared" si="7"/>
        <v>1909.6611818618114</v>
      </c>
      <c r="M15" s="11">
        <f t="shared" si="8"/>
        <v>1325.6104547099967</v>
      </c>
      <c r="N15" s="11">
        <f t="shared" si="9"/>
        <v>584.05072715181473</v>
      </c>
      <c r="O15" s="11">
        <f t="shared" si="10"/>
        <v>397099.08568584721</v>
      </c>
      <c r="P15" s="11">
        <f t="shared" si="11"/>
        <v>503341.67592978408</v>
      </c>
      <c r="Q15" s="11">
        <f t="shared" si="12"/>
        <v>106242.59024393687</v>
      </c>
      <c r="R15" s="11">
        <f t="shared" si="13"/>
        <v>-625.40203234275668</v>
      </c>
      <c r="S15" s="11">
        <f t="shared" si="14"/>
        <v>-1951.0124870527534</v>
      </c>
      <c r="T15" s="11">
        <f t="shared" si="1"/>
        <v>-482.93259892421656</v>
      </c>
    </row>
    <row r="16" spans="1:21">
      <c r="A16">
        <v>6</v>
      </c>
      <c r="B16" s="12">
        <f t="shared" si="2"/>
        <v>3819.3223637236229</v>
      </c>
      <c r="C16" s="12">
        <f t="shared" si="15"/>
        <v>2647.3272379056484</v>
      </c>
      <c r="D16" s="12">
        <f t="shared" si="16"/>
        <v>1171.9951258179744</v>
      </c>
      <c r="E16" s="12">
        <f t="shared" si="17"/>
        <v>793026.17624587647</v>
      </c>
      <c r="F16" s="12">
        <f t="shared" si="3"/>
        <v>1008361.1574460008</v>
      </c>
      <c r="G16" s="12">
        <f t="shared" si="4"/>
        <v>215334.98120012437</v>
      </c>
      <c r="H16" s="12">
        <f t="shared" si="5"/>
        <v>-465.35867416132936</v>
      </c>
      <c r="I16" s="12">
        <f t="shared" si="6"/>
        <v>-3112.6859120669778</v>
      </c>
      <c r="J16" s="12">
        <f t="shared" si="0"/>
        <v>-1348.0538865364765</v>
      </c>
      <c r="K16" s="12"/>
      <c r="L16" s="11">
        <f t="shared" si="7"/>
        <v>1909.6611818618114</v>
      </c>
      <c r="M16" s="11">
        <f t="shared" si="8"/>
        <v>1323.6636189528242</v>
      </c>
      <c r="N16" s="11">
        <f t="shared" si="9"/>
        <v>585.99756290898722</v>
      </c>
      <c r="O16" s="11">
        <f t="shared" si="10"/>
        <v>396513.08812293824</v>
      </c>
      <c r="P16" s="11">
        <f t="shared" si="11"/>
        <v>504180.57872300042</v>
      </c>
      <c r="Q16" s="11">
        <f t="shared" si="12"/>
        <v>107667.49060006218</v>
      </c>
      <c r="R16" s="11">
        <f t="shared" si="13"/>
        <v>-626.44436906332794</v>
      </c>
      <c r="S16" s="11">
        <f t="shared" si="14"/>
        <v>-1950.1079880161521</v>
      </c>
      <c r="T16" s="11">
        <f t="shared" si="1"/>
        <v>-479.58130007406749</v>
      </c>
    </row>
    <row r="17" spans="1:20">
      <c r="A17">
        <v>7</v>
      </c>
      <c r="B17" s="12">
        <f t="shared" si="2"/>
        <v>3819.3223637236229</v>
      </c>
      <c r="C17" s="12">
        <f t="shared" si="15"/>
        <v>2643.420587486255</v>
      </c>
      <c r="D17" s="12">
        <f t="shared" si="16"/>
        <v>1175.9017762373678</v>
      </c>
      <c r="E17" s="12">
        <f t="shared" si="17"/>
        <v>791850.27446963906</v>
      </c>
      <c r="F17" s="12">
        <f t="shared" si="3"/>
        <v>1010041.7593750776</v>
      </c>
      <c r="G17" s="12">
        <f t="shared" si="4"/>
        <v>218191.4849054385</v>
      </c>
      <c r="H17" s="12">
        <f t="shared" si="5"/>
        <v>-466.13427195159824</v>
      </c>
      <c r="I17" s="12">
        <f t="shared" si="6"/>
        <v>-3109.5548594378533</v>
      </c>
      <c r="J17" s="12">
        <f t="shared" si="0"/>
        <v>-1341.9817805314678</v>
      </c>
      <c r="K17" s="12"/>
      <c r="L17" s="11">
        <f t="shared" si="7"/>
        <v>1909.6611818618114</v>
      </c>
      <c r="M17" s="11">
        <f t="shared" si="8"/>
        <v>1321.7102937431275</v>
      </c>
      <c r="N17" s="11">
        <f t="shared" si="9"/>
        <v>587.95088811868391</v>
      </c>
      <c r="O17" s="11">
        <f t="shared" si="10"/>
        <v>395925.13723481953</v>
      </c>
      <c r="P17" s="11">
        <f t="shared" si="11"/>
        <v>505020.87968753878</v>
      </c>
      <c r="Q17" s="11">
        <f t="shared" si="12"/>
        <v>109095.74245271925</v>
      </c>
      <c r="R17" s="11">
        <f t="shared" si="13"/>
        <v>-627.48844301176689</v>
      </c>
      <c r="S17" s="11">
        <f t="shared" si="14"/>
        <v>-1949.1987367548945</v>
      </c>
      <c r="T17" s="11">
        <f t="shared" si="1"/>
        <v>-476.22117099957291</v>
      </c>
    </row>
    <row r="18" spans="1:20">
      <c r="A18">
        <v>8</v>
      </c>
      <c r="B18" s="12">
        <f t="shared" si="2"/>
        <v>3819.3223637236229</v>
      </c>
      <c r="C18" s="12">
        <f t="shared" si="15"/>
        <v>2639.500914898797</v>
      </c>
      <c r="D18" s="12">
        <f t="shared" si="16"/>
        <v>1179.8214488248259</v>
      </c>
      <c r="E18" s="12">
        <f t="shared" si="17"/>
        <v>790670.45302081422</v>
      </c>
      <c r="F18" s="12">
        <f t="shared" si="3"/>
        <v>1011725.1623073694</v>
      </c>
      <c r="G18" s="12">
        <f t="shared" si="4"/>
        <v>221054.70928655518</v>
      </c>
      <c r="H18" s="12">
        <f t="shared" si="5"/>
        <v>-466.91116240485093</v>
      </c>
      <c r="I18" s="12">
        <f t="shared" si="6"/>
        <v>-3106.4120773036479</v>
      </c>
      <c r="J18" s="12">
        <f t="shared" si="0"/>
        <v>-1335.8930432657519</v>
      </c>
      <c r="K18" s="12"/>
      <c r="L18" s="11">
        <f t="shared" si="7"/>
        <v>1909.6611818618114</v>
      </c>
      <c r="M18" s="11">
        <f t="shared" si="8"/>
        <v>1319.7504574493985</v>
      </c>
      <c r="N18" s="11">
        <f t="shared" si="9"/>
        <v>589.91072441241295</v>
      </c>
      <c r="O18" s="11">
        <f t="shared" si="10"/>
        <v>395335.22651040711</v>
      </c>
      <c r="P18" s="11">
        <f t="shared" si="11"/>
        <v>505862.5811536847</v>
      </c>
      <c r="Q18" s="11">
        <f t="shared" si="12"/>
        <v>110527.35464327759</v>
      </c>
      <c r="R18" s="11">
        <f t="shared" si="13"/>
        <v>-628.53425708345321</v>
      </c>
      <c r="S18" s="11">
        <f t="shared" si="14"/>
        <v>-1948.2847145328517</v>
      </c>
      <c r="T18" s="11">
        <f t="shared" si="1"/>
        <v>-472.85218616793804</v>
      </c>
    </row>
    <row r="19" spans="1:20">
      <c r="A19">
        <v>9</v>
      </c>
      <c r="B19" s="12">
        <f t="shared" si="2"/>
        <v>3819.3223637236229</v>
      </c>
      <c r="C19" s="12">
        <f t="shared" si="15"/>
        <v>2635.5681767360475</v>
      </c>
      <c r="D19" s="12">
        <f t="shared" si="16"/>
        <v>1183.7541869875754</v>
      </c>
      <c r="E19" s="12">
        <f t="shared" si="17"/>
        <v>789486.6988338267</v>
      </c>
      <c r="F19" s="12">
        <f t="shared" si="3"/>
        <v>1013411.3709112151</v>
      </c>
      <c r="G19" s="12">
        <f t="shared" si="4"/>
        <v>223924.67207738839</v>
      </c>
      <c r="H19" s="12">
        <f t="shared" si="5"/>
        <v>-467.68934767552571</v>
      </c>
      <c r="I19" s="12">
        <f t="shared" si="6"/>
        <v>-3103.2575244115733</v>
      </c>
      <c r="J19" s="12">
        <f t="shared" si="0"/>
        <v>-1329.787625316947</v>
      </c>
      <c r="K19" s="12"/>
      <c r="L19" s="11">
        <f t="shared" si="7"/>
        <v>1909.6611818618114</v>
      </c>
      <c r="M19" s="11">
        <f t="shared" si="8"/>
        <v>1317.7840883680237</v>
      </c>
      <c r="N19" s="11">
        <f t="shared" si="9"/>
        <v>591.8770934937877</v>
      </c>
      <c r="O19" s="11">
        <f t="shared" si="10"/>
        <v>394743.34941691335</v>
      </c>
      <c r="P19" s="11">
        <f t="shared" si="11"/>
        <v>506705.68545560754</v>
      </c>
      <c r="Q19" s="11">
        <f t="shared" si="12"/>
        <v>111962.33603869419</v>
      </c>
      <c r="R19" s="11">
        <f t="shared" si="13"/>
        <v>-629.58181417859237</v>
      </c>
      <c r="S19" s="11">
        <f t="shared" si="14"/>
        <v>-1947.3659025466161</v>
      </c>
      <c r="T19" s="11">
        <f t="shared" si="1"/>
        <v>-469.47431996776049</v>
      </c>
    </row>
    <row r="20" spans="1:20">
      <c r="A20">
        <v>10</v>
      </c>
      <c r="B20" s="12">
        <f t="shared" si="2"/>
        <v>3819.3223637236229</v>
      </c>
      <c r="C20" s="12">
        <f t="shared" si="15"/>
        <v>2631.6223294460892</v>
      </c>
      <c r="D20" s="12">
        <f t="shared" si="16"/>
        <v>1187.7000342775336</v>
      </c>
      <c r="E20" s="12">
        <f t="shared" si="17"/>
        <v>788298.99879954918</v>
      </c>
      <c r="F20" s="12">
        <f t="shared" si="3"/>
        <v>1015100.3898627338</v>
      </c>
      <c r="G20" s="12">
        <f t="shared" si="4"/>
        <v>226801.39106318459</v>
      </c>
      <c r="H20" s="12">
        <f t="shared" si="5"/>
        <v>-468.4688299216516</v>
      </c>
      <c r="I20" s="12">
        <f t="shared" si="6"/>
        <v>-3100.0911593677411</v>
      </c>
      <c r="J20" s="12">
        <f t="shared" si="0"/>
        <v>-1323.665477107957</v>
      </c>
      <c r="K20" s="12"/>
      <c r="L20" s="11">
        <f t="shared" si="7"/>
        <v>1909.6611818618114</v>
      </c>
      <c r="M20" s="11">
        <f t="shared" si="8"/>
        <v>1315.8111647230446</v>
      </c>
      <c r="N20" s="11">
        <f t="shared" si="9"/>
        <v>593.85001713876682</v>
      </c>
      <c r="O20" s="11">
        <f t="shared" si="10"/>
        <v>394149.49939977459</v>
      </c>
      <c r="P20" s="11">
        <f t="shared" si="11"/>
        <v>507550.19493136689</v>
      </c>
      <c r="Q20" s="11">
        <f t="shared" si="12"/>
        <v>113400.6955315923</v>
      </c>
      <c r="R20" s="11">
        <f t="shared" si="13"/>
        <v>-630.63111720222332</v>
      </c>
      <c r="S20" s="11">
        <f t="shared" si="14"/>
        <v>-1946.4422819252679</v>
      </c>
      <c r="T20" s="11">
        <f t="shared" si="1"/>
        <v>-466.08754670878125</v>
      </c>
    </row>
    <row r="21" spans="1:20">
      <c r="A21">
        <v>11</v>
      </c>
      <c r="B21" s="12">
        <f t="shared" si="2"/>
        <v>3819.3223637236229</v>
      </c>
      <c r="C21" s="12">
        <f t="shared" si="15"/>
        <v>2627.6633293318305</v>
      </c>
      <c r="D21" s="12">
        <f t="shared" si="16"/>
        <v>1191.6590343917924</v>
      </c>
      <c r="E21" s="12">
        <f t="shared" si="17"/>
        <v>787107.33976515743</v>
      </c>
      <c r="F21" s="12">
        <f t="shared" si="3"/>
        <v>1016792.2238458383</v>
      </c>
      <c r="G21" s="12">
        <f t="shared" si="4"/>
        <v>229684.8840806809</v>
      </c>
      <c r="H21" s="12">
        <f t="shared" si="5"/>
        <v>-469.2496113048544</v>
      </c>
      <c r="I21" s="12">
        <f t="shared" si="6"/>
        <v>-3096.9129406366847</v>
      </c>
      <c r="J21" s="12">
        <f t="shared" si="0"/>
        <v>-1317.5265489064677</v>
      </c>
      <c r="K21" s="12"/>
      <c r="L21" s="11">
        <f t="shared" si="7"/>
        <v>1909.6611818618114</v>
      </c>
      <c r="M21" s="11">
        <f t="shared" si="8"/>
        <v>1313.8316646659152</v>
      </c>
      <c r="N21" s="11">
        <f t="shared" si="9"/>
        <v>595.82951719589619</v>
      </c>
      <c r="O21" s="11">
        <f t="shared" si="10"/>
        <v>393553.66988257872</v>
      </c>
      <c r="P21" s="11">
        <f t="shared" si="11"/>
        <v>508396.11192291917</v>
      </c>
      <c r="Q21" s="11">
        <f t="shared" si="12"/>
        <v>114842.44204034045</v>
      </c>
      <c r="R21" s="11">
        <f t="shared" si="13"/>
        <v>-631.68216906422708</v>
      </c>
      <c r="S21" s="11">
        <f t="shared" si="14"/>
        <v>-1945.5138337301423</v>
      </c>
      <c r="T21" s="11">
        <f t="shared" si="1"/>
        <v>-462.69184062162799</v>
      </c>
    </row>
    <row r="22" spans="1:20">
      <c r="A22">
        <v>12</v>
      </c>
      <c r="B22" s="12">
        <f t="shared" si="2"/>
        <v>3819.3223637236229</v>
      </c>
      <c r="C22" s="12">
        <f t="shared" si="15"/>
        <v>2623.6911325505248</v>
      </c>
      <c r="D22" s="12">
        <f t="shared" si="16"/>
        <v>1195.6312311730981</v>
      </c>
      <c r="E22" s="12">
        <f t="shared" si="17"/>
        <v>785911.70853398438</v>
      </c>
      <c r="F22" s="12">
        <f t="shared" si="3"/>
        <v>1018486.8775522481</v>
      </c>
      <c r="G22" s="12">
        <f t="shared" si="4"/>
        <v>232575.1690182637</v>
      </c>
      <c r="H22" s="12">
        <f t="shared" si="5"/>
        <v>-470.0316939903625</v>
      </c>
      <c r="I22" s="12">
        <f t="shared" si="6"/>
        <v>-3093.7228265408871</v>
      </c>
      <c r="J22" s="12">
        <f t="shared" si="0"/>
        <v>-1311.3707908244533</v>
      </c>
      <c r="K22" s="12"/>
      <c r="L22" s="11">
        <f t="shared" si="7"/>
        <v>1909.6611818618114</v>
      </c>
      <c r="M22" s="11">
        <f t="shared" si="8"/>
        <v>1311.8455662752624</v>
      </c>
      <c r="N22" s="11">
        <f t="shared" si="9"/>
        <v>597.81561558654903</v>
      </c>
      <c r="O22" s="11">
        <f t="shared" si="10"/>
        <v>392955.85426699219</v>
      </c>
      <c r="P22" s="11">
        <f t="shared" si="11"/>
        <v>509243.43877612404</v>
      </c>
      <c r="Q22" s="11">
        <f t="shared" si="12"/>
        <v>116287.58450913185</v>
      </c>
      <c r="R22" s="11">
        <f t="shared" si="13"/>
        <v>-632.73497267933419</v>
      </c>
      <c r="S22" s="11">
        <f t="shared" si="14"/>
        <v>-1944.5805389545967</v>
      </c>
      <c r="T22" s="11">
        <f t="shared" si="1"/>
        <v>-459.28717585756817</v>
      </c>
    </row>
    <row r="23" spans="1:20">
      <c r="A23">
        <v>13</v>
      </c>
      <c r="B23" s="12">
        <f t="shared" si="2"/>
        <v>3819.3223637236229</v>
      </c>
      <c r="C23" s="12">
        <f t="shared" si="15"/>
        <v>2619.7056951132813</v>
      </c>
      <c r="D23" s="12">
        <f t="shared" si="16"/>
        <v>1199.6166686103415</v>
      </c>
      <c r="E23" s="12">
        <f t="shared" si="17"/>
        <v>784712.09186537401</v>
      </c>
      <c r="F23" s="12">
        <f t="shared" si="3"/>
        <v>1020184.3556815019</v>
      </c>
      <c r="G23" s="12">
        <f t="shared" si="4"/>
        <v>235472.2638161279</v>
      </c>
      <c r="H23" s="12">
        <f t="shared" si="5"/>
        <v>-470.81508014701313</v>
      </c>
      <c r="I23" s="12">
        <f t="shared" si="6"/>
        <v>-3090.5207752602946</v>
      </c>
      <c r="J23" s="12">
        <f t="shared" si="0"/>
        <v>-1305.1981528176666</v>
      </c>
      <c r="K23" s="12"/>
      <c r="L23" s="11">
        <f t="shared" si="7"/>
        <v>1909.6611818618114</v>
      </c>
      <c r="M23" s="11">
        <f t="shared" si="8"/>
        <v>1309.8528475566407</v>
      </c>
      <c r="N23" s="11">
        <f t="shared" si="9"/>
        <v>599.80833430517077</v>
      </c>
      <c r="O23" s="11">
        <f t="shared" si="10"/>
        <v>392356.045932687</v>
      </c>
      <c r="P23" s="11">
        <f t="shared" si="11"/>
        <v>510092.17784075096</v>
      </c>
      <c r="Q23" s="11">
        <f t="shared" si="12"/>
        <v>117736.13190806395</v>
      </c>
      <c r="R23" s="11">
        <f t="shared" si="13"/>
        <v>-633.78953096713315</v>
      </c>
      <c r="S23" s="11">
        <f t="shared" si="14"/>
        <v>-1943.6423785237739</v>
      </c>
      <c r="T23" s="11">
        <f t="shared" si="1"/>
        <v>-455.87352648825049</v>
      </c>
    </row>
    <row r="24" spans="1:20">
      <c r="A24">
        <v>14</v>
      </c>
      <c r="B24" s="12">
        <f t="shared" si="2"/>
        <v>3819.3223637236229</v>
      </c>
      <c r="C24" s="12">
        <f t="shared" si="15"/>
        <v>2615.70697288458</v>
      </c>
      <c r="D24" s="12">
        <f t="shared" si="16"/>
        <v>1203.6153908390429</v>
      </c>
      <c r="E24" s="12">
        <f t="shared" si="17"/>
        <v>783508.47647453495</v>
      </c>
      <c r="F24" s="12">
        <f t="shared" si="3"/>
        <v>1021884.6629409711</v>
      </c>
      <c r="G24" s="12">
        <f t="shared" si="4"/>
        <v>238376.18646643613</v>
      </c>
      <c r="H24" s="12">
        <f t="shared" si="5"/>
        <v>-471.59977194725815</v>
      </c>
      <c r="I24" s="12">
        <f t="shared" si="6"/>
        <v>-3087.3067448318379</v>
      </c>
      <c r="J24" s="12">
        <f t="shared" si="0"/>
        <v>-1299.0085846851387</v>
      </c>
      <c r="K24" s="12"/>
      <c r="L24" s="11">
        <f t="shared" si="7"/>
        <v>1909.6611818618114</v>
      </c>
      <c r="M24" s="11">
        <f t="shared" si="8"/>
        <v>1307.85348644229</v>
      </c>
      <c r="N24" s="11">
        <f t="shared" si="9"/>
        <v>601.80769541952145</v>
      </c>
      <c r="O24" s="11">
        <f t="shared" si="10"/>
        <v>391754.23823726748</v>
      </c>
      <c r="P24" s="11">
        <f t="shared" si="11"/>
        <v>510942.33147048554</v>
      </c>
      <c r="Q24" s="11">
        <f t="shared" si="12"/>
        <v>119188.09323321807</v>
      </c>
      <c r="R24" s="11">
        <f t="shared" si="13"/>
        <v>-634.84584685207835</v>
      </c>
      <c r="S24" s="11">
        <f t="shared" si="14"/>
        <v>-1942.6993332943684</v>
      </c>
      <c r="T24" s="11">
        <f t="shared" si="1"/>
        <v>-452.45086650545204</v>
      </c>
    </row>
    <row r="25" spans="1:20">
      <c r="A25">
        <v>15</v>
      </c>
      <c r="B25" s="12">
        <f t="shared" si="2"/>
        <v>3819.3223637236229</v>
      </c>
      <c r="C25" s="12">
        <f t="shared" si="15"/>
        <v>2611.6949215817831</v>
      </c>
      <c r="D25" s="12">
        <f t="shared" si="16"/>
        <v>1207.6274421418398</v>
      </c>
      <c r="E25" s="12">
        <f t="shared" si="17"/>
        <v>782300.84903239307</v>
      </c>
      <c r="F25" s="12">
        <f t="shared" si="3"/>
        <v>1023587.8040458728</v>
      </c>
      <c r="G25" s="12">
        <f t="shared" si="4"/>
        <v>241286.95501347969</v>
      </c>
      <c r="H25" s="12">
        <f t="shared" si="5"/>
        <v>-472.38577156717025</v>
      </c>
      <c r="I25" s="12">
        <f t="shared" si="6"/>
        <v>-3084.0806931489533</v>
      </c>
      <c r="J25" s="12">
        <f t="shared" si="0"/>
        <v>-1292.8020360686762</v>
      </c>
      <c r="K25" s="12"/>
      <c r="L25" s="11">
        <f t="shared" si="7"/>
        <v>1909.6611818618114</v>
      </c>
      <c r="M25" s="11">
        <f t="shared" si="8"/>
        <v>1305.8474607908915</v>
      </c>
      <c r="N25" s="11">
        <f t="shared" si="9"/>
        <v>603.81372107091988</v>
      </c>
      <c r="O25" s="11">
        <f t="shared" si="10"/>
        <v>391150.42451619654</v>
      </c>
      <c r="P25" s="11">
        <f t="shared" si="11"/>
        <v>511793.90202293638</v>
      </c>
      <c r="Q25" s="11">
        <f t="shared" si="12"/>
        <v>120643.47750673984</v>
      </c>
      <c r="R25" s="11">
        <f t="shared" si="13"/>
        <v>-635.90392326349854</v>
      </c>
      <c r="S25" s="11">
        <f t="shared" si="14"/>
        <v>-1941.7513840543902</v>
      </c>
      <c r="T25" s="11">
        <f t="shared" si="1"/>
        <v>-449.01916982082594</v>
      </c>
    </row>
    <row r="26" spans="1:20">
      <c r="A26">
        <v>16</v>
      </c>
      <c r="B26" s="12">
        <f t="shared" si="2"/>
        <v>3819.3223637236229</v>
      </c>
      <c r="C26" s="12">
        <f t="shared" si="15"/>
        <v>2607.6694967746439</v>
      </c>
      <c r="D26" s="12">
        <f t="shared" si="16"/>
        <v>1211.652866948979</v>
      </c>
      <c r="E26" s="12">
        <f t="shared" si="17"/>
        <v>781089.1961654441</v>
      </c>
      <c r="F26" s="12">
        <f t="shared" si="3"/>
        <v>1025293.7837192826</v>
      </c>
      <c r="G26" s="12">
        <f t="shared" si="4"/>
        <v>244204.5875538385</v>
      </c>
      <c r="H26" s="12">
        <f t="shared" si="5"/>
        <v>-473.17308118644888</v>
      </c>
      <c r="I26" s="12">
        <f t="shared" si="6"/>
        <v>-3080.842577961093</v>
      </c>
      <c r="J26" s="12">
        <f t="shared" si="0"/>
        <v>-1286.5784564523487</v>
      </c>
      <c r="K26" s="12"/>
      <c r="L26" s="11">
        <f t="shared" si="7"/>
        <v>1909.6611818618114</v>
      </c>
      <c r="M26" s="11">
        <f t="shared" si="8"/>
        <v>1303.834748387322</v>
      </c>
      <c r="N26" s="11">
        <f t="shared" si="9"/>
        <v>605.82643347448948</v>
      </c>
      <c r="O26" s="11">
        <f t="shared" si="10"/>
        <v>390544.59808272205</v>
      </c>
      <c r="P26" s="11">
        <f t="shared" si="11"/>
        <v>512646.8918596413</v>
      </c>
      <c r="Q26" s="11">
        <f t="shared" si="12"/>
        <v>122102.29377691925</v>
      </c>
      <c r="R26" s="11">
        <f t="shared" si="13"/>
        <v>-636.96376313560438</v>
      </c>
      <c r="S26" s="11">
        <f t="shared" si="14"/>
        <v>-1940.7985115229262</v>
      </c>
      <c r="T26" s="11">
        <f t="shared" si="1"/>
        <v>-445.57841026563915</v>
      </c>
    </row>
    <row r="27" spans="1:20">
      <c r="A27">
        <v>17</v>
      </c>
      <c r="B27" s="12">
        <f t="shared" si="2"/>
        <v>3819.3223637236229</v>
      </c>
      <c r="C27" s="12">
        <f t="shared" si="15"/>
        <v>2603.6306538848135</v>
      </c>
      <c r="D27" s="12">
        <f t="shared" si="16"/>
        <v>1215.6917098388094</v>
      </c>
      <c r="E27" s="12">
        <f t="shared" si="17"/>
        <v>779873.50445560529</v>
      </c>
      <c r="F27" s="12">
        <f t="shared" si="3"/>
        <v>1027002.6066921481</v>
      </c>
      <c r="G27" s="12">
        <f t="shared" si="4"/>
        <v>247129.10223654285</v>
      </c>
      <c r="H27" s="12">
        <f t="shared" si="5"/>
        <v>-473.96170298842634</v>
      </c>
      <c r="I27" s="12">
        <f t="shared" si="6"/>
        <v>-3077.5923568732396</v>
      </c>
      <c r="J27" s="12">
        <f t="shared" si="0"/>
        <v>-1280.3377951619805</v>
      </c>
      <c r="K27" s="12"/>
      <c r="L27" s="11">
        <f t="shared" si="7"/>
        <v>1909.6611818618114</v>
      </c>
      <c r="M27" s="11">
        <f t="shared" si="8"/>
        <v>1301.8153269424067</v>
      </c>
      <c r="N27" s="11">
        <f t="shared" si="9"/>
        <v>607.8458549194047</v>
      </c>
      <c r="O27" s="11">
        <f t="shared" si="10"/>
        <v>389936.75222780264</v>
      </c>
      <c r="P27" s="11">
        <f t="shared" si="11"/>
        <v>513501.30334607407</v>
      </c>
      <c r="Q27" s="11">
        <f t="shared" si="12"/>
        <v>123564.55111827143</v>
      </c>
      <c r="R27" s="11">
        <f t="shared" si="13"/>
        <v>-638.02536940749712</v>
      </c>
      <c r="S27" s="11">
        <f t="shared" si="14"/>
        <v>-1939.8406963499037</v>
      </c>
      <c r="T27" s="11">
        <f t="shared" si="1"/>
        <v>-442.1285615905208</v>
      </c>
    </row>
    <row r="28" spans="1:20">
      <c r="A28">
        <v>18</v>
      </c>
      <c r="B28" s="12">
        <f t="shared" si="2"/>
        <v>3819.3223637236229</v>
      </c>
      <c r="C28" s="12">
        <f t="shared" si="15"/>
        <v>2599.5783481853509</v>
      </c>
      <c r="D28" s="12">
        <f t="shared" si="16"/>
        <v>1219.7440155382719</v>
      </c>
      <c r="E28" s="12">
        <f t="shared" si="17"/>
        <v>778653.76044006704</v>
      </c>
      <c r="F28" s="12">
        <f t="shared" si="3"/>
        <v>1028714.2777033017</v>
      </c>
      <c r="G28" s="12">
        <f t="shared" si="4"/>
        <v>250060.51726323471</v>
      </c>
      <c r="H28" s="12">
        <f t="shared" si="5"/>
        <v>-474.75163916007375</v>
      </c>
      <c r="I28" s="12">
        <f t="shared" si="6"/>
        <v>-3074.3299873454248</v>
      </c>
      <c r="J28" s="12">
        <f t="shared" si="0"/>
        <v>-1274.0800013646469</v>
      </c>
      <c r="K28" s="12"/>
      <c r="L28" s="11">
        <f t="shared" si="7"/>
        <v>1909.6611818618114</v>
      </c>
      <c r="M28" s="11">
        <f t="shared" si="8"/>
        <v>1299.7891740926755</v>
      </c>
      <c r="N28" s="11">
        <f t="shared" si="9"/>
        <v>609.87200776913596</v>
      </c>
      <c r="O28" s="11">
        <f t="shared" si="10"/>
        <v>389326.88022003352</v>
      </c>
      <c r="P28" s="11">
        <f t="shared" si="11"/>
        <v>514357.13885165087</v>
      </c>
      <c r="Q28" s="11">
        <f t="shared" si="12"/>
        <v>125030.25863161735</v>
      </c>
      <c r="R28" s="11">
        <f t="shared" si="13"/>
        <v>-639.08874502317633</v>
      </c>
      <c r="S28" s="11">
        <f t="shared" si="14"/>
        <v>-1938.8779191158519</v>
      </c>
      <c r="T28" s="11">
        <f t="shared" si="1"/>
        <v>-438.66959746520342</v>
      </c>
    </row>
    <row r="29" spans="1:20">
      <c r="A29">
        <v>19</v>
      </c>
      <c r="B29" s="12">
        <f t="shared" si="2"/>
        <v>3819.3223637236229</v>
      </c>
      <c r="C29" s="12">
        <f t="shared" si="15"/>
        <v>2595.5125348002234</v>
      </c>
      <c r="D29" s="12">
        <f t="shared" si="16"/>
        <v>1223.8098289233994</v>
      </c>
      <c r="E29" s="12">
        <f t="shared" si="17"/>
        <v>777429.95061114361</v>
      </c>
      <c r="F29" s="12">
        <f t="shared" si="3"/>
        <v>1030428.801499474</v>
      </c>
      <c r="G29" s="12">
        <f t="shared" si="4"/>
        <v>252998.85088833037</v>
      </c>
      <c r="H29" s="12">
        <f t="shared" si="5"/>
        <v>-475.54289189200722</v>
      </c>
      <c r="I29" s="12">
        <f t="shared" si="6"/>
        <v>-3071.0554266922309</v>
      </c>
      <c r="J29" s="12">
        <f t="shared" si="0"/>
        <v>-1267.8050240681516</v>
      </c>
      <c r="K29" s="12"/>
      <c r="L29" s="11">
        <f t="shared" si="7"/>
        <v>1909.6611818618114</v>
      </c>
      <c r="M29" s="11">
        <f t="shared" si="8"/>
        <v>1297.7562674001117</v>
      </c>
      <c r="N29" s="11">
        <f t="shared" si="9"/>
        <v>611.90491446169972</v>
      </c>
      <c r="O29" s="11">
        <f t="shared" si="10"/>
        <v>388714.9753055718</v>
      </c>
      <c r="P29" s="11">
        <f t="shared" si="11"/>
        <v>515214.40074973699</v>
      </c>
      <c r="Q29" s="11">
        <f t="shared" si="12"/>
        <v>126499.42544416519</v>
      </c>
      <c r="R29" s="11">
        <f t="shared" si="13"/>
        <v>-640.15389293154828</v>
      </c>
      <c r="S29" s="11">
        <f t="shared" si="14"/>
        <v>-1937.9101603316599</v>
      </c>
      <c r="T29" s="11">
        <f t="shared" si="1"/>
        <v>-435.2014914782601</v>
      </c>
    </row>
    <row r="30" spans="1:20">
      <c r="A30">
        <v>20</v>
      </c>
      <c r="B30" s="12">
        <f t="shared" si="2"/>
        <v>3819.3223637236229</v>
      </c>
      <c r="C30" s="12">
        <f t="shared" si="15"/>
        <v>2591.433168703812</v>
      </c>
      <c r="D30" s="12">
        <f t="shared" si="16"/>
        <v>1227.8891950198108</v>
      </c>
      <c r="E30" s="12">
        <f t="shared" si="17"/>
        <v>776202.06141612376</v>
      </c>
      <c r="F30" s="12">
        <f t="shared" si="3"/>
        <v>1032146.1828353065</v>
      </c>
      <c r="G30" s="12">
        <f t="shared" si="4"/>
        <v>255944.12141918275</v>
      </c>
      <c r="H30" s="12">
        <f t="shared" si="5"/>
        <v>-476.3354633784939</v>
      </c>
      <c r="I30" s="12">
        <f t="shared" si="6"/>
        <v>-3067.7686320823059</v>
      </c>
      <c r="J30" s="12">
        <f t="shared" si="0"/>
        <v>-1261.5128121205198</v>
      </c>
      <c r="K30" s="12"/>
      <c r="L30" s="11">
        <f t="shared" si="7"/>
        <v>1909.6611818618114</v>
      </c>
      <c r="M30" s="11">
        <f t="shared" si="8"/>
        <v>1295.716584351906</v>
      </c>
      <c r="N30" s="11">
        <f t="shared" si="9"/>
        <v>613.94459750990541</v>
      </c>
      <c r="O30" s="11">
        <f t="shared" si="10"/>
        <v>388101.03070806188</v>
      </c>
      <c r="P30" s="11">
        <f t="shared" si="11"/>
        <v>516073.09141765325</v>
      </c>
      <c r="Q30" s="11">
        <f t="shared" si="12"/>
        <v>127972.06070959137</v>
      </c>
      <c r="R30" s="11">
        <f t="shared" si="13"/>
        <v>-641.22081608643418</v>
      </c>
      <c r="S30" s="11">
        <f t="shared" si="14"/>
        <v>-1936.9374004383403</v>
      </c>
      <c r="T30" s="11">
        <f t="shared" si="1"/>
        <v>-431.72421713685162</v>
      </c>
    </row>
    <row r="31" spans="1:20">
      <c r="A31">
        <v>21</v>
      </c>
      <c r="B31" s="12">
        <f t="shared" si="2"/>
        <v>3819.3223637236229</v>
      </c>
      <c r="C31" s="12">
        <f t="shared" si="15"/>
        <v>2587.3402047204127</v>
      </c>
      <c r="D31" s="12">
        <f t="shared" si="16"/>
        <v>1231.9821590032102</v>
      </c>
      <c r="E31" s="12">
        <f t="shared" si="17"/>
        <v>774970.07925712049</v>
      </c>
      <c r="F31" s="12">
        <f t="shared" si="3"/>
        <v>1033866.4264733654</v>
      </c>
      <c r="G31" s="12">
        <f t="shared" si="4"/>
        <v>258896.3472162449</v>
      </c>
      <c r="H31" s="12">
        <f t="shared" si="5"/>
        <v>-477.12935581745808</v>
      </c>
      <c r="I31" s="12">
        <f t="shared" si="6"/>
        <v>-3064.4695605378706</v>
      </c>
      <c r="J31" s="12">
        <f t="shared" si="0"/>
        <v>-1255.2033142094813</v>
      </c>
      <c r="K31" s="12"/>
      <c r="L31" s="11">
        <f t="shared" si="7"/>
        <v>1909.6611818618114</v>
      </c>
      <c r="M31" s="11">
        <f t="shared" si="8"/>
        <v>1293.6701023602063</v>
      </c>
      <c r="N31" s="11">
        <f t="shared" si="9"/>
        <v>615.9910795016051</v>
      </c>
      <c r="O31" s="11">
        <f t="shared" si="10"/>
        <v>387485.03962856025</v>
      </c>
      <c r="P31" s="11">
        <f t="shared" si="11"/>
        <v>516933.2132366827</v>
      </c>
      <c r="Q31" s="11">
        <f t="shared" si="12"/>
        <v>129448.17360812245</v>
      </c>
      <c r="R31" s="11">
        <f t="shared" si="13"/>
        <v>-642.28951744657832</v>
      </c>
      <c r="S31" s="11">
        <f t="shared" si="14"/>
        <v>-1935.9596198067848</v>
      </c>
      <c r="T31" s="11">
        <f t="shared" si="1"/>
        <v>-428.23774786646027</v>
      </c>
    </row>
    <row r="32" spans="1:20">
      <c r="A32">
        <v>22</v>
      </c>
      <c r="B32" s="12">
        <f t="shared" si="2"/>
        <v>3819.3223637236229</v>
      </c>
      <c r="C32" s="12">
        <f t="shared" si="15"/>
        <v>2583.2335975237352</v>
      </c>
      <c r="D32" s="12">
        <f t="shared" si="16"/>
        <v>1236.0887661998877</v>
      </c>
      <c r="E32" s="12">
        <f t="shared" si="17"/>
        <v>773733.99049092061</v>
      </c>
      <c r="F32" s="12">
        <f t="shared" si="3"/>
        <v>1035589.5371841544</v>
      </c>
      <c r="G32" s="12">
        <f t="shared" si="4"/>
        <v>261855.54669323377</v>
      </c>
      <c r="H32" s="12">
        <f t="shared" si="5"/>
        <v>-477.9245714104872</v>
      </c>
      <c r="I32" s="12">
        <f t="shared" si="6"/>
        <v>-3061.1581689342224</v>
      </c>
      <c r="J32" s="12">
        <f t="shared" si="0"/>
        <v>-1248.8764788619526</v>
      </c>
      <c r="K32" s="12"/>
      <c r="L32" s="11">
        <f t="shared" si="7"/>
        <v>1909.6611818618114</v>
      </c>
      <c r="M32" s="11">
        <f t="shared" si="8"/>
        <v>1291.6167987618676</v>
      </c>
      <c r="N32" s="11">
        <f t="shared" si="9"/>
        <v>618.04438309994384</v>
      </c>
      <c r="O32" s="11">
        <f t="shared" si="10"/>
        <v>386866.9952454603</v>
      </c>
      <c r="P32" s="11">
        <f t="shared" si="11"/>
        <v>517794.76859207719</v>
      </c>
      <c r="Q32" s="11">
        <f t="shared" si="12"/>
        <v>130927.77334661689</v>
      </c>
      <c r="R32" s="11">
        <f t="shared" si="13"/>
        <v>-643.35999997565602</v>
      </c>
      <c r="S32" s="11">
        <f t="shared" si="14"/>
        <v>-1934.9767987375235</v>
      </c>
      <c r="T32" s="11">
        <f t="shared" si="1"/>
        <v>-424.7420570106317</v>
      </c>
    </row>
    <row r="33" spans="1:20">
      <c r="A33">
        <v>23</v>
      </c>
      <c r="B33" s="12">
        <f t="shared" si="2"/>
        <v>3819.3223637236229</v>
      </c>
      <c r="C33" s="12">
        <f t="shared" si="15"/>
        <v>2579.113301636402</v>
      </c>
      <c r="D33" s="12">
        <f t="shared" si="16"/>
        <v>1240.2090620872209</v>
      </c>
      <c r="E33" s="12">
        <f t="shared" si="17"/>
        <v>772493.78142883338</v>
      </c>
      <c r="F33" s="12">
        <f t="shared" si="3"/>
        <v>1037315.519746128</v>
      </c>
      <c r="G33" s="12">
        <f t="shared" si="4"/>
        <v>264821.73831729463</v>
      </c>
      <c r="H33" s="12">
        <f t="shared" si="5"/>
        <v>-478.72111236283803</v>
      </c>
      <c r="I33" s="12">
        <f t="shared" si="6"/>
        <v>-3057.83441399924</v>
      </c>
      <c r="J33" s="12">
        <f t="shared" si="0"/>
        <v>-1242.5322544435162</v>
      </c>
      <c r="K33" s="12"/>
      <c r="L33" s="11">
        <f t="shared" si="7"/>
        <v>1909.6611818618114</v>
      </c>
      <c r="M33" s="11">
        <f t="shared" si="8"/>
        <v>1289.556650818201</v>
      </c>
      <c r="N33" s="11">
        <f t="shared" si="9"/>
        <v>620.10453104361045</v>
      </c>
      <c r="O33" s="11">
        <f t="shared" si="10"/>
        <v>386246.89071441669</v>
      </c>
      <c r="P33" s="11">
        <f t="shared" si="11"/>
        <v>518657.759873064</v>
      </c>
      <c r="Q33" s="11">
        <f t="shared" si="12"/>
        <v>132410.86915864731</v>
      </c>
      <c r="R33" s="11">
        <f t="shared" si="13"/>
        <v>-644.43226664228212</v>
      </c>
      <c r="S33" s="11">
        <f t="shared" si="14"/>
        <v>-1933.9889174604832</v>
      </c>
      <c r="T33" s="11">
        <f t="shared" si="1"/>
        <v>-421.23711783071303</v>
      </c>
    </row>
    <row r="34" spans="1:20">
      <c r="A34">
        <v>24</v>
      </c>
      <c r="B34" s="12">
        <f t="shared" si="2"/>
        <v>3819.3223637236229</v>
      </c>
      <c r="C34" s="12">
        <f t="shared" si="15"/>
        <v>2574.9792714294449</v>
      </c>
      <c r="D34" s="12">
        <f t="shared" si="16"/>
        <v>1244.3430922941779</v>
      </c>
      <c r="E34" s="12">
        <f t="shared" si="17"/>
        <v>771249.4383365392</v>
      </c>
      <c r="F34" s="12">
        <f t="shared" si="3"/>
        <v>1039044.3789457049</v>
      </c>
      <c r="G34" s="12">
        <f t="shared" si="4"/>
        <v>267794.9406091657</v>
      </c>
      <c r="H34" s="12">
        <f t="shared" si="5"/>
        <v>-479.51898088344279</v>
      </c>
      <c r="I34" s="12">
        <f t="shared" si="6"/>
        <v>-3054.4982523128879</v>
      </c>
      <c r="J34" s="12">
        <f t="shared" si="0"/>
        <v>-1236.1705891579045</v>
      </c>
      <c r="K34" s="12"/>
      <c r="L34" s="11">
        <f t="shared" si="7"/>
        <v>1909.6611818618114</v>
      </c>
      <c r="M34" s="11">
        <f t="shared" si="8"/>
        <v>1287.4896357147225</v>
      </c>
      <c r="N34" s="11">
        <f t="shared" si="9"/>
        <v>622.17154614708897</v>
      </c>
      <c r="O34" s="11">
        <f t="shared" si="10"/>
        <v>385624.7191682696</v>
      </c>
      <c r="P34" s="11">
        <f t="shared" si="11"/>
        <v>519522.18947285245</v>
      </c>
      <c r="Q34" s="11">
        <f t="shared" si="12"/>
        <v>133897.47030458285</v>
      </c>
      <c r="R34" s="11">
        <f t="shared" si="13"/>
        <v>-645.50632042001928</v>
      </c>
      <c r="S34" s="11">
        <f t="shared" si="14"/>
        <v>-1932.9959561347418</v>
      </c>
      <c r="T34" s="11">
        <f t="shared" si="1"/>
        <v>-417.72290350558887</v>
      </c>
    </row>
    <row r="35" spans="1:20">
      <c r="A35">
        <v>25</v>
      </c>
      <c r="B35" s="12">
        <f t="shared" si="2"/>
        <v>3819.3223637236229</v>
      </c>
      <c r="C35" s="12">
        <f t="shared" si="15"/>
        <v>2570.8314611217975</v>
      </c>
      <c r="D35" s="12">
        <f t="shared" si="16"/>
        <v>1248.4909026018254</v>
      </c>
      <c r="E35" s="12">
        <f t="shared" si="17"/>
        <v>770000.94743393734</v>
      </c>
      <c r="F35" s="12">
        <f t="shared" si="3"/>
        <v>1040776.1195772811</v>
      </c>
      <c r="G35" s="12">
        <f t="shared" si="4"/>
        <v>270775.17214334372</v>
      </c>
      <c r="H35" s="12">
        <f t="shared" si="5"/>
        <v>-480.31817918491521</v>
      </c>
      <c r="I35" s="12">
        <f t="shared" si="6"/>
        <v>-3051.1496403067126</v>
      </c>
      <c r="J35" s="12">
        <f t="shared" si="0"/>
        <v>-1229.7914310464712</v>
      </c>
      <c r="K35" s="12"/>
      <c r="L35" s="11">
        <f t="shared" si="7"/>
        <v>1909.6611818618114</v>
      </c>
      <c r="M35" s="11">
        <f t="shared" si="8"/>
        <v>1285.4157305608987</v>
      </c>
      <c r="N35" s="11">
        <f t="shared" si="9"/>
        <v>624.24545130091269</v>
      </c>
      <c r="O35" s="11">
        <f t="shared" si="10"/>
        <v>385000.47371696867</v>
      </c>
      <c r="P35" s="11">
        <f t="shared" si="11"/>
        <v>520388.05978864053</v>
      </c>
      <c r="Q35" s="11">
        <f t="shared" si="12"/>
        <v>135387.58607167186</v>
      </c>
      <c r="R35" s="11">
        <f t="shared" si="13"/>
        <v>-646.58216428738604</v>
      </c>
      <c r="S35" s="11">
        <f t="shared" si="14"/>
        <v>-1931.9978948482849</v>
      </c>
      <c r="T35" s="11">
        <f t="shared" si="1"/>
        <v>-414.19938713141687</v>
      </c>
    </row>
    <row r="36" spans="1:20">
      <c r="A36">
        <v>26</v>
      </c>
      <c r="B36" s="12">
        <f t="shared" si="2"/>
        <v>3819.3223637236229</v>
      </c>
      <c r="C36" s="12">
        <f t="shared" si="15"/>
        <v>2566.6698247797913</v>
      </c>
      <c r="D36" s="12">
        <f t="shared" si="16"/>
        <v>1252.6525389438316</v>
      </c>
      <c r="E36" s="12">
        <f t="shared" si="17"/>
        <v>768748.29489499354</v>
      </c>
      <c r="F36" s="12">
        <f t="shared" si="3"/>
        <v>1042510.7464432432</v>
      </c>
      <c r="G36" s="12">
        <f t="shared" si="4"/>
        <v>273762.45154824969</v>
      </c>
      <c r="H36" s="12">
        <f t="shared" si="5"/>
        <v>-481.11870948355676</v>
      </c>
      <c r="I36" s="12">
        <f t="shared" si="6"/>
        <v>-3047.7885342633481</v>
      </c>
      <c r="J36" s="12">
        <f t="shared" si="0"/>
        <v>-1223.3947279876729</v>
      </c>
      <c r="K36" s="12"/>
      <c r="L36" s="11">
        <f t="shared" si="7"/>
        <v>1909.6611818618114</v>
      </c>
      <c r="M36" s="11">
        <f t="shared" si="8"/>
        <v>1283.3349123898956</v>
      </c>
      <c r="N36" s="11">
        <f t="shared" si="9"/>
        <v>626.32626947191579</v>
      </c>
      <c r="O36" s="11">
        <f t="shared" si="10"/>
        <v>384374.14744749677</v>
      </c>
      <c r="P36" s="11">
        <f t="shared" si="11"/>
        <v>521255.37322162162</v>
      </c>
      <c r="Q36" s="11">
        <f t="shared" si="12"/>
        <v>136881.22577412485</v>
      </c>
      <c r="R36" s="11">
        <f t="shared" si="13"/>
        <v>-647.65980122786505</v>
      </c>
      <c r="S36" s="11">
        <f t="shared" si="14"/>
        <v>-1930.9947136177607</v>
      </c>
      <c r="T36" s="11">
        <f t="shared" si="1"/>
        <v>-410.66654172136441</v>
      </c>
    </row>
    <row r="37" spans="1:20">
      <c r="A37">
        <v>27</v>
      </c>
      <c r="B37" s="12">
        <f t="shared" si="2"/>
        <v>3819.3223637236229</v>
      </c>
      <c r="C37" s="12">
        <f t="shared" si="15"/>
        <v>2562.4943163166449</v>
      </c>
      <c r="D37" s="12">
        <f t="shared" si="16"/>
        <v>1256.8280474069779</v>
      </c>
      <c r="E37" s="12">
        <f t="shared" si="17"/>
        <v>767491.46684758656</v>
      </c>
      <c r="F37" s="12">
        <f t="shared" si="3"/>
        <v>1044248.2643539821</v>
      </c>
      <c r="G37" s="12">
        <f t="shared" si="4"/>
        <v>276756.79750639549</v>
      </c>
      <c r="H37" s="12">
        <f t="shared" si="5"/>
        <v>-481.92057399936272</v>
      </c>
      <c r="I37" s="12">
        <f t="shared" si="6"/>
        <v>-3044.4148903160076</v>
      </c>
      <c r="J37" s="12">
        <f t="shared" si="0"/>
        <v>-1216.9804276965394</v>
      </c>
      <c r="K37" s="12"/>
      <c r="L37" s="11">
        <f t="shared" si="7"/>
        <v>1909.6611818618114</v>
      </c>
      <c r="M37" s="11">
        <f t="shared" si="8"/>
        <v>1281.2471581583225</v>
      </c>
      <c r="N37" s="11">
        <f t="shared" si="9"/>
        <v>628.41402370348897</v>
      </c>
      <c r="O37" s="11">
        <f t="shared" si="10"/>
        <v>383745.73342379328</v>
      </c>
      <c r="P37" s="11">
        <f t="shared" si="11"/>
        <v>522124.13217699103</v>
      </c>
      <c r="Q37" s="11">
        <f t="shared" si="12"/>
        <v>138378.39875319775</v>
      </c>
      <c r="R37" s="11">
        <f t="shared" si="13"/>
        <v>-648.73923422991152</v>
      </c>
      <c r="S37" s="11">
        <f t="shared" si="14"/>
        <v>-1929.986392388234</v>
      </c>
      <c r="T37" s="11">
        <f t="shared" si="1"/>
        <v>-407.12434020534351</v>
      </c>
    </row>
    <row r="38" spans="1:20">
      <c r="A38">
        <v>28</v>
      </c>
      <c r="B38" s="12">
        <f t="shared" si="2"/>
        <v>3819.3223637236229</v>
      </c>
      <c r="C38" s="12">
        <f t="shared" si="15"/>
        <v>2558.3048894919552</v>
      </c>
      <c r="D38" s="12">
        <f t="shared" si="16"/>
        <v>1261.0174742316676</v>
      </c>
      <c r="E38" s="12">
        <f t="shared" si="17"/>
        <v>766230.4493733549</v>
      </c>
      <c r="F38" s="12">
        <f t="shared" si="3"/>
        <v>1045988.6781279054</v>
      </c>
      <c r="G38" s="12">
        <f t="shared" si="4"/>
        <v>279758.22875455045</v>
      </c>
      <c r="H38" s="12">
        <f t="shared" si="5"/>
        <v>-482.72377495602836</v>
      </c>
      <c r="I38" s="12">
        <f t="shared" si="6"/>
        <v>-3041.0286644479838</v>
      </c>
      <c r="J38" s="12">
        <f t="shared" si="0"/>
        <v>-1210.5484777241495</v>
      </c>
      <c r="K38" s="12"/>
      <c r="L38" s="11">
        <f t="shared" si="7"/>
        <v>1909.6611818618114</v>
      </c>
      <c r="M38" s="11">
        <f t="shared" si="8"/>
        <v>1279.1524447459776</v>
      </c>
      <c r="N38" s="11">
        <f t="shared" si="9"/>
        <v>630.50873711583381</v>
      </c>
      <c r="O38" s="11">
        <f t="shared" si="10"/>
        <v>383115.22468667745</v>
      </c>
      <c r="P38" s="11">
        <f t="shared" si="11"/>
        <v>522994.33906395268</v>
      </c>
      <c r="Q38" s="11">
        <f t="shared" si="12"/>
        <v>139879.11437727523</v>
      </c>
      <c r="R38" s="11">
        <f t="shared" si="13"/>
        <v>-649.82046628696139</v>
      </c>
      <c r="S38" s="11">
        <f t="shared" si="14"/>
        <v>-1928.972911032939</v>
      </c>
      <c r="T38" s="11">
        <f t="shared" si="1"/>
        <v>-403.57275542974367</v>
      </c>
    </row>
    <row r="39" spans="1:20">
      <c r="A39">
        <v>29</v>
      </c>
      <c r="B39" s="12">
        <f t="shared" si="2"/>
        <v>3819.3223637236229</v>
      </c>
      <c r="C39" s="12">
        <f t="shared" si="15"/>
        <v>2554.1014979111828</v>
      </c>
      <c r="D39" s="12">
        <f t="shared" si="16"/>
        <v>1265.22086581244</v>
      </c>
      <c r="E39" s="12">
        <f t="shared" si="17"/>
        <v>764965.22850754252</v>
      </c>
      <c r="F39" s="12">
        <f t="shared" si="3"/>
        <v>1047731.9925914519</v>
      </c>
      <c r="G39" s="12">
        <f t="shared" si="4"/>
        <v>282766.76408390934</v>
      </c>
      <c r="H39" s="12">
        <f t="shared" si="5"/>
        <v>-483.52831458095511</v>
      </c>
      <c r="I39" s="12">
        <f t="shared" si="6"/>
        <v>-3037.6298124921377</v>
      </c>
      <c r="J39" s="12">
        <f t="shared" si="0"/>
        <v>-1204.0988254570971</v>
      </c>
      <c r="K39" s="12"/>
      <c r="L39" s="11">
        <f t="shared" si="7"/>
        <v>1909.6611818618114</v>
      </c>
      <c r="M39" s="11">
        <f t="shared" si="8"/>
        <v>1277.0507489555914</v>
      </c>
      <c r="N39" s="11">
        <f t="shared" si="9"/>
        <v>632.61043290622001</v>
      </c>
      <c r="O39" s="11">
        <f t="shared" si="10"/>
        <v>382482.61425377126</v>
      </c>
      <c r="P39" s="11">
        <f t="shared" si="11"/>
        <v>523865.99629572593</v>
      </c>
      <c r="Q39" s="11">
        <f t="shared" si="12"/>
        <v>141383.38204195467</v>
      </c>
      <c r="R39" s="11">
        <f t="shared" si="13"/>
        <v>-650.90350039743964</v>
      </c>
      <c r="S39" s="11">
        <f t="shared" si="14"/>
        <v>-1927.9542493530312</v>
      </c>
      <c r="T39" s="11">
        <f t="shared" si="1"/>
        <v>-400.01176015716396</v>
      </c>
    </row>
    <row r="40" spans="1:20">
      <c r="A40">
        <v>30</v>
      </c>
      <c r="B40" s="12">
        <f t="shared" si="2"/>
        <v>3819.3223637236229</v>
      </c>
      <c r="C40" s="12">
        <f t="shared" si="15"/>
        <v>2549.884095025142</v>
      </c>
      <c r="D40" s="12">
        <f t="shared" si="16"/>
        <v>1269.4382686984809</v>
      </c>
      <c r="E40" s="12">
        <f t="shared" si="17"/>
        <v>763695.790238844</v>
      </c>
      <c r="F40" s="12">
        <f t="shared" si="3"/>
        <v>1049478.2125791044</v>
      </c>
      <c r="G40" s="12">
        <f t="shared" si="4"/>
        <v>285782.42234026035</v>
      </c>
      <c r="H40" s="12">
        <f t="shared" si="5"/>
        <v>-484.3341951052567</v>
      </c>
      <c r="I40" s="12">
        <f t="shared" si="6"/>
        <v>-3034.2182901303986</v>
      </c>
      <c r="J40" s="12">
        <f t="shared" si="0"/>
        <v>-1197.6314181169662</v>
      </c>
      <c r="K40" s="12"/>
      <c r="L40" s="11">
        <f t="shared" si="7"/>
        <v>1909.6611818618114</v>
      </c>
      <c r="M40" s="11">
        <f t="shared" si="8"/>
        <v>1274.942047512571</v>
      </c>
      <c r="N40" s="11">
        <f t="shared" si="9"/>
        <v>634.71913434924045</v>
      </c>
      <c r="O40" s="11">
        <f t="shared" si="10"/>
        <v>381847.895119422</v>
      </c>
      <c r="P40" s="11">
        <f t="shared" si="11"/>
        <v>524739.10628955218</v>
      </c>
      <c r="Q40" s="11">
        <f t="shared" si="12"/>
        <v>142891.21117013018</v>
      </c>
      <c r="R40" s="11">
        <f t="shared" si="13"/>
        <v>-651.98833956476869</v>
      </c>
      <c r="S40" s="11">
        <f t="shared" si="14"/>
        <v>-1926.9303870773397</v>
      </c>
      <c r="T40" s="11">
        <f t="shared" si="1"/>
        <v>-396.44132706614573</v>
      </c>
    </row>
    <row r="41" spans="1:20">
      <c r="A41">
        <v>31</v>
      </c>
      <c r="B41" s="12">
        <f t="shared" si="2"/>
        <v>3819.3223637236229</v>
      </c>
      <c r="C41" s="12">
        <f t="shared" si="15"/>
        <v>2545.6526341294798</v>
      </c>
      <c r="D41" s="12">
        <f t="shared" si="16"/>
        <v>1273.6697295941431</v>
      </c>
      <c r="E41" s="12">
        <f t="shared" si="17"/>
        <v>762422.12050924986</v>
      </c>
      <c r="F41" s="12">
        <f t="shared" si="3"/>
        <v>1051227.3429334029</v>
      </c>
      <c r="G41" s="12">
        <f t="shared" si="4"/>
        <v>288805.22242415301</v>
      </c>
      <c r="H41" s="12">
        <f t="shared" si="5"/>
        <v>-485.1414187637655</v>
      </c>
      <c r="I41" s="12">
        <f t="shared" si="6"/>
        <v>-3030.7940528932454</v>
      </c>
      <c r="J41" s="12">
        <f t="shared" si="0"/>
        <v>-1191.1462027597909</v>
      </c>
      <c r="K41" s="12"/>
      <c r="L41" s="11">
        <f t="shared" si="7"/>
        <v>1909.6611818618114</v>
      </c>
      <c r="M41" s="11">
        <f t="shared" si="8"/>
        <v>1272.8263170647399</v>
      </c>
      <c r="N41" s="11">
        <f t="shared" si="9"/>
        <v>636.83486479707153</v>
      </c>
      <c r="O41" s="11">
        <f t="shared" si="10"/>
        <v>381211.06025462493</v>
      </c>
      <c r="P41" s="11">
        <f t="shared" si="11"/>
        <v>525613.67146670143</v>
      </c>
      <c r="Q41" s="11">
        <f t="shared" si="12"/>
        <v>144402.6112120765</v>
      </c>
      <c r="R41" s="11">
        <f t="shared" si="13"/>
        <v>-653.07498679737671</v>
      </c>
      <c r="S41" s="11">
        <f t="shared" si="14"/>
        <v>-1925.9013038621165</v>
      </c>
      <c r="T41" s="11">
        <f t="shared" si="1"/>
        <v>-392.861428750904</v>
      </c>
    </row>
    <row r="42" spans="1:20">
      <c r="A42">
        <v>32</v>
      </c>
      <c r="B42" s="12">
        <f t="shared" si="2"/>
        <v>3819.3223637236229</v>
      </c>
      <c r="C42" s="12">
        <f t="shared" si="15"/>
        <v>2541.4070683641662</v>
      </c>
      <c r="D42" s="12">
        <f t="shared" si="16"/>
        <v>1277.9152953594566</v>
      </c>
      <c r="E42" s="12">
        <f t="shared" si="17"/>
        <v>761144.20521389041</v>
      </c>
      <c r="F42" s="12">
        <f t="shared" si="3"/>
        <v>1052979.3885049585</v>
      </c>
      <c r="G42" s="12">
        <f t="shared" si="4"/>
        <v>291835.18329106807</v>
      </c>
      <c r="H42" s="12">
        <f t="shared" si="5"/>
        <v>-485.94998779503845</v>
      </c>
      <c r="I42" s="12">
        <f t="shared" si="6"/>
        <v>-3027.3570561592046</v>
      </c>
      <c r="J42" s="12">
        <f t="shared" si="0"/>
        <v>-1184.6431262755275</v>
      </c>
      <c r="K42" s="12"/>
      <c r="L42" s="11">
        <f t="shared" si="7"/>
        <v>1909.6611818618114</v>
      </c>
      <c r="M42" s="11">
        <f t="shared" si="8"/>
        <v>1270.7035341820831</v>
      </c>
      <c r="N42" s="11">
        <f t="shared" si="9"/>
        <v>638.95764767972832</v>
      </c>
      <c r="O42" s="11">
        <f t="shared" si="10"/>
        <v>380572.10260694521</v>
      </c>
      <c r="P42" s="11">
        <f t="shared" si="11"/>
        <v>526489.69425247924</v>
      </c>
      <c r="Q42" s="11">
        <f t="shared" si="12"/>
        <v>145917.59164553403</v>
      </c>
      <c r="R42" s="11">
        <f t="shared" si="13"/>
        <v>-654.16344510870567</v>
      </c>
      <c r="S42" s="11">
        <f t="shared" si="14"/>
        <v>-1924.8669792907888</v>
      </c>
      <c r="T42" s="11">
        <f t="shared" si="1"/>
        <v>-389.27203772105781</v>
      </c>
    </row>
    <row r="43" spans="1:20">
      <c r="A43">
        <v>33</v>
      </c>
      <c r="B43" s="12">
        <f t="shared" si="2"/>
        <v>3819.3223637236229</v>
      </c>
      <c r="C43" s="12">
        <f t="shared" si="15"/>
        <v>2537.1473507129681</v>
      </c>
      <c r="D43" s="12">
        <f t="shared" si="16"/>
        <v>1282.1750130106548</v>
      </c>
      <c r="E43" s="12">
        <f t="shared" si="17"/>
        <v>759862.03020087979</v>
      </c>
      <c r="F43" s="12">
        <f t="shared" si="3"/>
        <v>1054734.3541524669</v>
      </c>
      <c r="G43" s="12">
        <f t="shared" si="4"/>
        <v>294872.32395158708</v>
      </c>
      <c r="H43" s="12">
        <f t="shared" si="5"/>
        <v>-486.75990444136352</v>
      </c>
      <c r="I43" s="12">
        <f t="shared" si="6"/>
        <v>-3023.9072551543318</v>
      </c>
      <c r="J43" s="12">
        <f t="shared" si="0"/>
        <v>-1178.1221353875148</v>
      </c>
      <c r="K43" s="12"/>
      <c r="L43" s="11">
        <f t="shared" si="7"/>
        <v>1909.6611818618114</v>
      </c>
      <c r="M43" s="11">
        <f t="shared" si="8"/>
        <v>1268.573675356484</v>
      </c>
      <c r="N43" s="11">
        <f t="shared" si="9"/>
        <v>641.08750650532738</v>
      </c>
      <c r="O43" s="11">
        <f t="shared" si="10"/>
        <v>379931.01510043989</v>
      </c>
      <c r="P43" s="11">
        <f t="shared" si="11"/>
        <v>527367.17707623343</v>
      </c>
      <c r="Q43" s="11">
        <f t="shared" si="12"/>
        <v>147436.16197579354</v>
      </c>
      <c r="R43" s="11">
        <f t="shared" si="13"/>
        <v>-655.25371751722025</v>
      </c>
      <c r="S43" s="11">
        <f t="shared" si="14"/>
        <v>-1923.8273928737044</v>
      </c>
      <c r="T43" s="11">
        <f t="shared" si="1"/>
        <v>-385.67312640135697</v>
      </c>
    </row>
    <row r="44" spans="1:20">
      <c r="A44">
        <v>34</v>
      </c>
      <c r="B44" s="12">
        <f t="shared" si="2"/>
        <v>3819.3223637236229</v>
      </c>
      <c r="C44" s="12">
        <f t="shared" si="15"/>
        <v>2532.8734340029328</v>
      </c>
      <c r="D44" s="12">
        <f t="shared" si="16"/>
        <v>1286.4489297206901</v>
      </c>
      <c r="E44" s="12">
        <f t="shared" si="17"/>
        <v>758575.58127115911</v>
      </c>
      <c r="F44" s="12">
        <f t="shared" si="3"/>
        <v>1056492.2447427211</v>
      </c>
      <c r="G44" s="12">
        <f t="shared" si="4"/>
        <v>297916.66347156197</v>
      </c>
      <c r="H44" s="12">
        <f t="shared" si="5"/>
        <v>-487.57117094876583</v>
      </c>
      <c r="I44" s="12">
        <f t="shared" si="6"/>
        <v>-3020.4446049516987</v>
      </c>
      <c r="J44" s="12">
        <f t="shared" si="0"/>
        <v>-1171.583176651937</v>
      </c>
      <c r="K44" s="12"/>
      <c r="L44" s="11">
        <f t="shared" si="7"/>
        <v>1909.6611818618114</v>
      </c>
      <c r="M44" s="11">
        <f t="shared" si="8"/>
        <v>1266.4367170014664</v>
      </c>
      <c r="N44" s="11">
        <f t="shared" si="9"/>
        <v>643.22446486034505</v>
      </c>
      <c r="O44" s="11">
        <f t="shared" si="10"/>
        <v>379287.79063557956</v>
      </c>
      <c r="P44" s="11">
        <f t="shared" si="11"/>
        <v>528246.12237136054</v>
      </c>
      <c r="Q44" s="11">
        <f t="shared" si="12"/>
        <v>148958.33173578099</v>
      </c>
      <c r="R44" s="11">
        <f t="shared" si="13"/>
        <v>-656.34580704641564</v>
      </c>
      <c r="S44" s="11">
        <f t="shared" si="14"/>
        <v>-1922.7825240478819</v>
      </c>
      <c r="T44" s="11">
        <f t="shared" si="1"/>
        <v>-382.0646671314139</v>
      </c>
    </row>
    <row r="45" spans="1:20">
      <c r="A45">
        <v>35</v>
      </c>
      <c r="B45" s="12">
        <f t="shared" si="2"/>
        <v>3819.3223637236229</v>
      </c>
      <c r="C45" s="12">
        <f t="shared" si="15"/>
        <v>2528.5852709038641</v>
      </c>
      <c r="D45" s="12">
        <f t="shared" si="16"/>
        <v>1290.7370928197588</v>
      </c>
      <c r="E45" s="12">
        <f t="shared" si="17"/>
        <v>757284.84417833935</v>
      </c>
      <c r="F45" s="12">
        <f t="shared" si="3"/>
        <v>1058253.0651506258</v>
      </c>
      <c r="G45" s="12">
        <f t="shared" si="4"/>
        <v>300968.22097228642</v>
      </c>
      <c r="H45" s="12">
        <f t="shared" si="5"/>
        <v>-488.38378956701376</v>
      </c>
      <c r="I45" s="12">
        <f t="shared" si="6"/>
        <v>-3016.9690604708776</v>
      </c>
      <c r="J45" s="12">
        <f t="shared" si="0"/>
        <v>-1165.0261964572828</v>
      </c>
      <c r="K45" s="12"/>
      <c r="L45" s="11">
        <f t="shared" si="7"/>
        <v>1909.6611818618114</v>
      </c>
      <c r="M45" s="11">
        <f t="shared" si="8"/>
        <v>1264.292635451932</v>
      </c>
      <c r="N45" s="11">
        <f t="shared" si="9"/>
        <v>645.3685464098794</v>
      </c>
      <c r="O45" s="11">
        <f t="shared" si="10"/>
        <v>378642.42208916968</v>
      </c>
      <c r="P45" s="11">
        <f t="shared" si="11"/>
        <v>529126.53257531289</v>
      </c>
      <c r="Q45" s="11">
        <f t="shared" si="12"/>
        <v>150484.11048614321</v>
      </c>
      <c r="R45" s="11">
        <f t="shared" si="13"/>
        <v>-657.43971672482633</v>
      </c>
      <c r="S45" s="11">
        <f t="shared" si="14"/>
        <v>-1921.7323521767585</v>
      </c>
      <c r="T45" s="11">
        <f t="shared" si="1"/>
        <v>-378.44663216542926</v>
      </c>
    </row>
    <row r="46" spans="1:20">
      <c r="A46">
        <v>36</v>
      </c>
      <c r="B46" s="12">
        <f t="shared" si="2"/>
        <v>3819.3223637236229</v>
      </c>
      <c r="C46" s="12">
        <f t="shared" si="15"/>
        <v>2524.2828139277976</v>
      </c>
      <c r="D46" s="12">
        <f t="shared" si="16"/>
        <v>1295.0395497958252</v>
      </c>
      <c r="E46" s="12">
        <f t="shared" si="17"/>
        <v>755989.80462854356</v>
      </c>
      <c r="F46" s="12">
        <f t="shared" si="3"/>
        <v>1060016.8202592102</v>
      </c>
      <c r="G46" s="12">
        <f t="shared" si="4"/>
        <v>304027.01563066663</v>
      </c>
      <c r="H46" s="12">
        <f t="shared" si="5"/>
        <v>-489.19776254962545</v>
      </c>
      <c r="I46" s="12">
        <f t="shared" si="6"/>
        <v>-3013.4805764774233</v>
      </c>
      <c r="J46" s="12">
        <f t="shared" si="0"/>
        <v>-1158.4511410238056</v>
      </c>
      <c r="K46" s="12"/>
      <c r="L46" s="11">
        <f t="shared" si="7"/>
        <v>1909.6611818618114</v>
      </c>
      <c r="M46" s="11">
        <f t="shared" si="8"/>
        <v>1262.1414069638988</v>
      </c>
      <c r="N46" s="11">
        <f t="shared" si="9"/>
        <v>647.51977489791261</v>
      </c>
      <c r="O46" s="11">
        <f t="shared" si="10"/>
        <v>377994.90231427178</v>
      </c>
      <c r="P46" s="11">
        <f t="shared" si="11"/>
        <v>530008.41012960509</v>
      </c>
      <c r="Q46" s="11">
        <f t="shared" si="12"/>
        <v>152013.50781533332</v>
      </c>
      <c r="R46" s="11">
        <f t="shared" si="13"/>
        <v>-658.53544958603436</v>
      </c>
      <c r="S46" s="11">
        <f t="shared" si="14"/>
        <v>-1920.6768565499333</v>
      </c>
      <c r="T46" s="11">
        <f t="shared" si="1"/>
        <v>-374.81899367191863</v>
      </c>
    </row>
    <row r="47" spans="1:20">
      <c r="A47">
        <v>37</v>
      </c>
      <c r="B47" s="12">
        <f t="shared" si="2"/>
        <v>3819.3223637236229</v>
      </c>
      <c r="C47" s="12">
        <f t="shared" si="15"/>
        <v>2519.9660154284788</v>
      </c>
      <c r="D47" s="12">
        <f t="shared" si="16"/>
        <v>1299.356348295144</v>
      </c>
      <c r="E47" s="12">
        <f t="shared" si="17"/>
        <v>754690.44828024844</v>
      </c>
      <c r="F47" s="12">
        <f t="shared" si="3"/>
        <v>1061783.5149596422</v>
      </c>
      <c r="G47" s="12">
        <f t="shared" si="4"/>
        <v>307093.06667939376</v>
      </c>
      <c r="H47" s="12">
        <f t="shared" si="5"/>
        <v>-490.01309215387482</v>
      </c>
      <c r="I47" s="12">
        <f t="shared" si="6"/>
        <v>-3009.9791075823537</v>
      </c>
      <c r="J47" s="12">
        <f t="shared" si="0"/>
        <v>-1151.8579564029801</v>
      </c>
      <c r="K47" s="12"/>
      <c r="L47" s="11">
        <f t="shared" si="7"/>
        <v>1909.6611818618114</v>
      </c>
      <c r="M47" s="11">
        <f t="shared" si="8"/>
        <v>1259.9830077142394</v>
      </c>
      <c r="N47" s="11">
        <f t="shared" si="9"/>
        <v>649.67817414757201</v>
      </c>
      <c r="O47" s="11">
        <f t="shared" si="10"/>
        <v>377345.22414012422</v>
      </c>
      <c r="P47" s="11">
        <f t="shared" si="11"/>
        <v>530891.7574798211</v>
      </c>
      <c r="Q47" s="11">
        <f t="shared" si="12"/>
        <v>153546.53333969688</v>
      </c>
      <c r="R47" s="11">
        <f t="shared" si="13"/>
        <v>-659.6330086686778</v>
      </c>
      <c r="S47" s="11">
        <f t="shared" si="14"/>
        <v>-1919.6160163829172</v>
      </c>
      <c r="T47" s="11">
        <f t="shared" si="1"/>
        <v>-371.18172373343896</v>
      </c>
    </row>
    <row r="48" spans="1:20">
      <c r="A48">
        <v>38</v>
      </c>
      <c r="B48" s="12">
        <f t="shared" si="2"/>
        <v>3819.3223637236229</v>
      </c>
      <c r="C48" s="12">
        <f t="shared" si="15"/>
        <v>2515.634827600828</v>
      </c>
      <c r="D48" s="12">
        <f t="shared" si="16"/>
        <v>1303.6875361227949</v>
      </c>
      <c r="E48" s="12">
        <f t="shared" si="17"/>
        <v>753386.7607441257</v>
      </c>
      <c r="F48" s="12">
        <f t="shared" si="3"/>
        <v>1063553.1541512415</v>
      </c>
      <c r="G48" s="12">
        <f t="shared" si="4"/>
        <v>310166.39340711583</v>
      </c>
      <c r="H48" s="12">
        <f t="shared" si="5"/>
        <v>-490.82978064079799</v>
      </c>
      <c r="I48" s="12">
        <f t="shared" si="6"/>
        <v>-3006.4646082416261</v>
      </c>
      <c r="J48" s="12">
        <f t="shared" si="0"/>
        <v>-1145.2465884769535</v>
      </c>
      <c r="K48" s="12"/>
      <c r="L48" s="11">
        <f t="shared" si="7"/>
        <v>1909.6611818618114</v>
      </c>
      <c r="M48" s="11">
        <f t="shared" si="8"/>
        <v>1257.817413800414</v>
      </c>
      <c r="N48" s="11">
        <f t="shared" si="9"/>
        <v>651.84376806139744</v>
      </c>
      <c r="O48" s="11">
        <f t="shared" si="10"/>
        <v>376693.38037206285</v>
      </c>
      <c r="P48" s="11">
        <f t="shared" si="11"/>
        <v>531776.57707562076</v>
      </c>
      <c r="Q48" s="11">
        <f t="shared" si="12"/>
        <v>155083.19670355791</v>
      </c>
      <c r="R48" s="11">
        <f t="shared" si="13"/>
        <v>-660.732397016459</v>
      </c>
      <c r="S48" s="11">
        <f t="shared" si="14"/>
        <v>-1918.5498108168731</v>
      </c>
      <c r="T48" s="11">
        <f t="shared" si="1"/>
        <v>-367.53479434631231</v>
      </c>
    </row>
    <row r="49" spans="1:20">
      <c r="A49">
        <v>39</v>
      </c>
      <c r="B49" s="12">
        <f t="shared" si="2"/>
        <v>3819.3223637236229</v>
      </c>
      <c r="C49" s="12">
        <f t="shared" si="15"/>
        <v>2511.2892024804191</v>
      </c>
      <c r="D49" s="12">
        <f t="shared" si="16"/>
        <v>1308.0331612432037</v>
      </c>
      <c r="E49" s="12">
        <f t="shared" si="17"/>
        <v>752078.72758288251</v>
      </c>
      <c r="F49" s="12">
        <f t="shared" si="3"/>
        <v>1065325.7427414937</v>
      </c>
      <c r="G49" s="12">
        <f t="shared" si="4"/>
        <v>313247.01515861123</v>
      </c>
      <c r="H49" s="12">
        <f t="shared" si="5"/>
        <v>-491.64783027519934</v>
      </c>
      <c r="I49" s="12">
        <f t="shared" si="6"/>
        <v>-3002.9370327556185</v>
      </c>
      <c r="J49" s="12">
        <f t="shared" si="0"/>
        <v>-1138.6169829580047</v>
      </c>
      <c r="K49" s="12"/>
      <c r="L49" s="11">
        <f t="shared" si="7"/>
        <v>1909.6611818618114</v>
      </c>
      <c r="M49" s="11">
        <f t="shared" si="8"/>
        <v>1255.6446012402096</v>
      </c>
      <c r="N49" s="11">
        <f t="shared" si="9"/>
        <v>654.01658062160186</v>
      </c>
      <c r="O49" s="11">
        <f t="shared" si="10"/>
        <v>376039.36379144125</v>
      </c>
      <c r="P49" s="11">
        <f t="shared" si="11"/>
        <v>532662.87137074687</v>
      </c>
      <c r="Q49" s="11">
        <f t="shared" si="12"/>
        <v>156623.50757930562</v>
      </c>
      <c r="R49" s="11">
        <f t="shared" si="13"/>
        <v>-661.83361767815313</v>
      </c>
      <c r="S49" s="11">
        <f t="shared" si="14"/>
        <v>-1917.4782189183627</v>
      </c>
      <c r="T49" s="11">
        <f t="shared" si="1"/>
        <v>-363.87817742035099</v>
      </c>
    </row>
    <row r="50" spans="1:20">
      <c r="A50">
        <v>40</v>
      </c>
      <c r="B50" s="12">
        <f t="shared" si="2"/>
        <v>3819.3223637236229</v>
      </c>
      <c r="C50" s="12">
        <f t="shared" si="15"/>
        <v>2506.9290919429418</v>
      </c>
      <c r="D50" s="12">
        <f t="shared" si="16"/>
        <v>1312.3932717806811</v>
      </c>
      <c r="E50" s="12">
        <f t="shared" si="17"/>
        <v>750766.33431110182</v>
      </c>
      <c r="F50" s="12">
        <f t="shared" si="3"/>
        <v>1067101.285646063</v>
      </c>
      <c r="G50" s="12">
        <f t="shared" si="4"/>
        <v>316334.95133496122</v>
      </c>
      <c r="H50" s="12">
        <f t="shared" si="5"/>
        <v>-492.46724332565805</v>
      </c>
      <c r="I50" s="12">
        <f t="shared" si="6"/>
        <v>-2999.3963352685996</v>
      </c>
      <c r="J50" s="12">
        <f t="shared" si="0"/>
        <v>-1131.9690853879897</v>
      </c>
      <c r="K50" s="12"/>
      <c r="L50" s="11">
        <f t="shared" si="7"/>
        <v>1909.6611818618114</v>
      </c>
      <c r="M50" s="11">
        <f t="shared" si="8"/>
        <v>1253.4645459714709</v>
      </c>
      <c r="N50" s="11">
        <f t="shared" si="9"/>
        <v>656.19663589034053</v>
      </c>
      <c r="O50" s="11">
        <f t="shared" si="10"/>
        <v>375383.16715555091</v>
      </c>
      <c r="P50" s="11">
        <f t="shared" si="11"/>
        <v>533550.64282303152</v>
      </c>
      <c r="Q50" s="11">
        <f t="shared" si="12"/>
        <v>158167.47566748061</v>
      </c>
      <c r="R50" s="11">
        <f t="shared" si="13"/>
        <v>-662.93667370761671</v>
      </c>
      <c r="S50" s="11">
        <f t="shared" si="14"/>
        <v>-1916.4012196790877</v>
      </c>
      <c r="T50" s="11">
        <f t="shared" si="1"/>
        <v>-360.21184477857901</v>
      </c>
    </row>
    <row r="51" spans="1:20">
      <c r="A51">
        <v>41</v>
      </c>
      <c r="B51" s="12">
        <f t="shared" si="2"/>
        <v>3819.3223637236229</v>
      </c>
      <c r="C51" s="12">
        <f t="shared" si="15"/>
        <v>2502.5544477036728</v>
      </c>
      <c r="D51" s="12">
        <f t="shared" si="16"/>
        <v>1316.76791601995</v>
      </c>
      <c r="E51" s="12">
        <f t="shared" si="17"/>
        <v>749449.56639508181</v>
      </c>
      <c r="F51" s="12">
        <f t="shared" si="3"/>
        <v>1068879.7877888065</v>
      </c>
      <c r="G51" s="12">
        <f t="shared" si="4"/>
        <v>319430.22139372467</v>
      </c>
      <c r="H51" s="12">
        <f t="shared" si="5"/>
        <v>-493.28802206453418</v>
      </c>
      <c r="I51" s="12">
        <f t="shared" si="6"/>
        <v>-2995.8424697682071</v>
      </c>
      <c r="J51" s="12">
        <f t="shared" si="0"/>
        <v>-1125.3028411377961</v>
      </c>
      <c r="K51" s="12"/>
      <c r="L51" s="11">
        <f t="shared" si="7"/>
        <v>1909.6611818618114</v>
      </c>
      <c r="M51" s="11">
        <f t="shared" si="8"/>
        <v>1251.2772238518364</v>
      </c>
      <c r="N51" s="11">
        <f t="shared" si="9"/>
        <v>658.383958009975</v>
      </c>
      <c r="O51" s="11">
        <f t="shared" si="10"/>
        <v>374724.78319754091</v>
      </c>
      <c r="P51" s="11">
        <f t="shared" si="11"/>
        <v>534439.89389440324</v>
      </c>
      <c r="Q51" s="11">
        <f t="shared" si="12"/>
        <v>159715.11069686234</v>
      </c>
      <c r="R51" s="11">
        <f t="shared" si="13"/>
        <v>-664.04156816379611</v>
      </c>
      <c r="S51" s="11">
        <f t="shared" si="14"/>
        <v>-1915.3187920156324</v>
      </c>
      <c r="T51" s="11">
        <f t="shared" si="1"/>
        <v>-356.53576815695646</v>
      </c>
    </row>
    <row r="52" spans="1:20">
      <c r="A52">
        <v>42</v>
      </c>
      <c r="B52" s="12">
        <f t="shared" si="2"/>
        <v>3819.3223637236229</v>
      </c>
      <c r="C52" s="12">
        <f t="shared" si="15"/>
        <v>2498.1652213169396</v>
      </c>
      <c r="D52" s="12">
        <f t="shared" si="16"/>
        <v>1321.1571424066833</v>
      </c>
      <c r="E52" s="12">
        <f t="shared" si="17"/>
        <v>748128.40925267513</v>
      </c>
      <c r="F52" s="12">
        <f t="shared" si="3"/>
        <v>1070661.2541017879</v>
      </c>
      <c r="G52" s="12">
        <f t="shared" si="4"/>
        <v>322532.84484911279</v>
      </c>
      <c r="H52" s="12">
        <f t="shared" si="5"/>
        <v>-494.1101687679751</v>
      </c>
      <c r="I52" s="12">
        <f t="shared" si="6"/>
        <v>-2992.2753900849148</v>
      </c>
      <c r="J52" s="12">
        <f t="shared" si="0"/>
        <v>-1118.6181954067861</v>
      </c>
      <c r="K52" s="12"/>
      <c r="L52" s="11">
        <f t="shared" si="7"/>
        <v>1909.6611818618114</v>
      </c>
      <c r="M52" s="11">
        <f t="shared" si="8"/>
        <v>1249.0826106584698</v>
      </c>
      <c r="N52" s="11">
        <f t="shared" si="9"/>
        <v>660.57857120334165</v>
      </c>
      <c r="O52" s="11">
        <f t="shared" si="10"/>
        <v>374064.20462633757</v>
      </c>
      <c r="P52" s="11">
        <f t="shared" si="11"/>
        <v>535330.62705089396</v>
      </c>
      <c r="Q52" s="11">
        <f t="shared" si="12"/>
        <v>161266.4224245564</v>
      </c>
      <c r="R52" s="11">
        <f t="shared" si="13"/>
        <v>-665.14830411073581</v>
      </c>
      <c r="S52" s="11">
        <f t="shared" si="14"/>
        <v>-1914.2309147692056</v>
      </c>
      <c r="T52" s="11">
        <f t="shared" si="1"/>
        <v>-352.84991920409834</v>
      </c>
    </row>
    <row r="53" spans="1:20">
      <c r="A53">
        <v>43</v>
      </c>
      <c r="B53" s="12">
        <f t="shared" si="2"/>
        <v>3819.3223637236229</v>
      </c>
      <c r="C53" s="12">
        <f t="shared" si="15"/>
        <v>2493.7613641755838</v>
      </c>
      <c r="D53" s="12">
        <f t="shared" si="16"/>
        <v>1325.560999548039</v>
      </c>
      <c r="E53" s="12">
        <f t="shared" si="17"/>
        <v>746802.84825312707</v>
      </c>
      <c r="F53" s="12">
        <f t="shared" si="3"/>
        <v>1072445.6895252909</v>
      </c>
      <c r="G53" s="12">
        <f t="shared" si="4"/>
        <v>325642.84127216379</v>
      </c>
      <c r="H53" s="12">
        <f t="shared" si="5"/>
        <v>-494.93368571592174</v>
      </c>
      <c r="I53" s="12">
        <f t="shared" si="6"/>
        <v>-2988.6950498915057</v>
      </c>
      <c r="J53" s="12">
        <f t="shared" si="0"/>
        <v>-1111.9150932222469</v>
      </c>
      <c r="K53" s="12"/>
      <c r="L53" s="11">
        <f t="shared" si="7"/>
        <v>1909.6611818618114</v>
      </c>
      <c r="M53" s="11">
        <f t="shared" si="8"/>
        <v>1246.8806820877919</v>
      </c>
      <c r="N53" s="11">
        <f t="shared" si="9"/>
        <v>662.78049977401952</v>
      </c>
      <c r="O53" s="11">
        <f t="shared" si="10"/>
        <v>373401.42412656354</v>
      </c>
      <c r="P53" s="11">
        <f t="shared" si="11"/>
        <v>536222.84476264543</v>
      </c>
      <c r="Q53" s="11">
        <f t="shared" si="12"/>
        <v>162821.42063608189</v>
      </c>
      <c r="R53" s="11">
        <f t="shared" si="13"/>
        <v>-666.25688461758705</v>
      </c>
      <c r="S53" s="11">
        <f t="shared" si="14"/>
        <v>-1913.137566705379</v>
      </c>
      <c r="T53" s="11">
        <f t="shared" si="1"/>
        <v>-349.15426948099662</v>
      </c>
    </row>
    <row r="54" spans="1:20">
      <c r="A54">
        <v>44</v>
      </c>
      <c r="B54" s="12">
        <f t="shared" si="2"/>
        <v>3819.3223637236229</v>
      </c>
      <c r="C54" s="12">
        <f t="shared" si="15"/>
        <v>2489.3428275104238</v>
      </c>
      <c r="D54" s="12">
        <f t="shared" si="16"/>
        <v>1329.979536213199</v>
      </c>
      <c r="E54" s="12">
        <f t="shared" si="17"/>
        <v>745472.86871691386</v>
      </c>
      <c r="F54" s="12">
        <f t="shared" si="3"/>
        <v>1074233.0990078331</v>
      </c>
      <c r="G54" s="12">
        <f t="shared" si="4"/>
        <v>328760.23029091919</v>
      </c>
      <c r="H54" s="12">
        <f t="shared" si="5"/>
        <v>-495.75857519211496</v>
      </c>
      <c r="I54" s="12">
        <f t="shared" si="6"/>
        <v>-2985.101402702539</v>
      </c>
      <c r="J54" s="12">
        <f t="shared" si="0"/>
        <v>-1105.1934794388314</v>
      </c>
      <c r="K54" s="12"/>
      <c r="L54" s="11">
        <f t="shared" si="7"/>
        <v>1909.6611818618114</v>
      </c>
      <c r="M54" s="11">
        <f t="shared" si="8"/>
        <v>1244.6714137552119</v>
      </c>
      <c r="N54" s="11">
        <f t="shared" si="9"/>
        <v>664.98976810659951</v>
      </c>
      <c r="O54" s="11">
        <f t="shared" si="10"/>
        <v>372736.43435845693</v>
      </c>
      <c r="P54" s="11">
        <f t="shared" si="11"/>
        <v>537116.54950391653</v>
      </c>
      <c r="Q54" s="11">
        <f t="shared" si="12"/>
        <v>164380.1151454596</v>
      </c>
      <c r="R54" s="11">
        <f t="shared" si="13"/>
        <v>-667.36731275861644</v>
      </c>
      <c r="S54" s="11">
        <f t="shared" si="14"/>
        <v>-1912.0387265138284</v>
      </c>
      <c r="T54" s="11">
        <f t="shared" si="1"/>
        <v>-345.44879046073834</v>
      </c>
    </row>
    <row r="55" spans="1:20">
      <c r="A55">
        <v>45</v>
      </c>
      <c r="B55" s="12">
        <f t="shared" si="2"/>
        <v>3819.3223637236229</v>
      </c>
      <c r="C55" s="12">
        <f t="shared" si="15"/>
        <v>2484.9095623897128</v>
      </c>
      <c r="D55" s="12">
        <f t="shared" si="16"/>
        <v>1334.41280133391</v>
      </c>
      <c r="E55" s="12">
        <f t="shared" si="17"/>
        <v>744138.45591557992</v>
      </c>
      <c r="F55" s="12">
        <f t="shared" si="3"/>
        <v>1076023.4875061794</v>
      </c>
      <c r="G55" s="12">
        <f t="shared" si="4"/>
        <v>331885.03159059945</v>
      </c>
      <c r="H55" s="12">
        <f t="shared" si="5"/>
        <v>-496.58483948410185</v>
      </c>
      <c r="I55" s="12">
        <f t="shared" si="6"/>
        <v>-2981.4944018738147</v>
      </c>
      <c r="J55" s="12">
        <f t="shared" si="0"/>
        <v>-1098.453298738001</v>
      </c>
      <c r="K55" s="12"/>
      <c r="L55" s="11">
        <f t="shared" si="7"/>
        <v>1909.6611818618114</v>
      </c>
      <c r="M55" s="11">
        <f t="shared" si="8"/>
        <v>1242.4547811948564</v>
      </c>
      <c r="N55" s="11">
        <f t="shared" si="9"/>
        <v>667.20640066695501</v>
      </c>
      <c r="O55" s="11">
        <f t="shared" si="10"/>
        <v>372069.22795778996</v>
      </c>
      <c r="P55" s="11">
        <f t="shared" si="11"/>
        <v>538011.74375308969</v>
      </c>
      <c r="Q55" s="11">
        <f t="shared" si="12"/>
        <v>165942.51579529973</v>
      </c>
      <c r="R55" s="11">
        <f t="shared" si="13"/>
        <v>-668.47959161321421</v>
      </c>
      <c r="S55" s="11">
        <f t="shared" si="14"/>
        <v>-1910.9343728080707</v>
      </c>
      <c r="T55" s="11">
        <f t="shared" si="1"/>
        <v>-341.73345352822594</v>
      </c>
    </row>
    <row r="56" spans="1:20">
      <c r="A56">
        <v>46</v>
      </c>
      <c r="B56" s="12">
        <f t="shared" si="2"/>
        <v>3819.3223637236229</v>
      </c>
      <c r="C56" s="12">
        <f t="shared" si="15"/>
        <v>2480.4615197185999</v>
      </c>
      <c r="D56" s="12">
        <f t="shared" si="16"/>
        <v>1338.860844005023</v>
      </c>
      <c r="E56" s="12">
        <f t="shared" si="17"/>
        <v>742799.59507157491</v>
      </c>
      <c r="F56" s="12">
        <f t="shared" si="3"/>
        <v>1077816.8599853565</v>
      </c>
      <c r="G56" s="12">
        <f t="shared" si="4"/>
        <v>335017.26491378155</v>
      </c>
      <c r="H56" s="12">
        <f t="shared" si="5"/>
        <v>-497.41248088324204</v>
      </c>
      <c r="I56" s="12">
        <f t="shared" si="6"/>
        <v>-2977.874000601842</v>
      </c>
      <c r="J56" s="12">
        <f t="shared" si="0"/>
        <v>-1091.6944956274685</v>
      </c>
      <c r="K56" s="12"/>
      <c r="L56" s="11">
        <f t="shared" si="7"/>
        <v>1909.6611818618114</v>
      </c>
      <c r="M56" s="11">
        <f t="shared" si="8"/>
        <v>1240.2307598593</v>
      </c>
      <c r="N56" s="11">
        <f t="shared" si="9"/>
        <v>669.43042200251148</v>
      </c>
      <c r="O56" s="11">
        <f t="shared" si="10"/>
        <v>371399.79753578745</v>
      </c>
      <c r="P56" s="11">
        <f t="shared" si="11"/>
        <v>538908.42999267823</v>
      </c>
      <c r="Q56" s="11">
        <f t="shared" si="12"/>
        <v>167508.63245689077</v>
      </c>
      <c r="R56" s="11">
        <f t="shared" si="13"/>
        <v>-669.59372426590289</v>
      </c>
      <c r="S56" s="11">
        <f t="shared" si="14"/>
        <v>-1909.8244841252028</v>
      </c>
      <c r="T56" s="11">
        <f t="shared" si="1"/>
        <v>-338.00822997989121</v>
      </c>
    </row>
    <row r="57" spans="1:20">
      <c r="A57">
        <v>47</v>
      </c>
      <c r="B57" s="12">
        <f t="shared" si="2"/>
        <v>3819.3223637236229</v>
      </c>
      <c r="C57" s="12">
        <f t="shared" si="15"/>
        <v>2475.9986502385832</v>
      </c>
      <c r="D57" s="12">
        <f t="shared" si="16"/>
        <v>1343.3237134850397</v>
      </c>
      <c r="E57" s="12">
        <f t="shared" si="17"/>
        <v>741456.27135808987</v>
      </c>
      <c r="F57" s="12">
        <f t="shared" si="3"/>
        <v>1079613.2214186655</v>
      </c>
      <c r="G57" s="12">
        <f t="shared" si="4"/>
        <v>338156.95006057562</v>
      </c>
      <c r="H57" s="12">
        <f t="shared" si="5"/>
        <v>-498.24150168471414</v>
      </c>
      <c r="I57" s="12">
        <f t="shared" si="6"/>
        <v>-2974.2401519232972</v>
      </c>
      <c r="J57" s="12">
        <f t="shared" si="0"/>
        <v>-1084.9170144406328</v>
      </c>
      <c r="K57" s="12"/>
      <c r="L57" s="11">
        <f t="shared" si="7"/>
        <v>1909.6611818618114</v>
      </c>
      <c r="M57" s="11">
        <f t="shared" si="8"/>
        <v>1237.9993251192916</v>
      </c>
      <c r="N57" s="11">
        <f t="shared" si="9"/>
        <v>671.66185674251983</v>
      </c>
      <c r="O57" s="11">
        <f t="shared" si="10"/>
        <v>370728.13567904494</v>
      </c>
      <c r="P57" s="11">
        <f t="shared" si="11"/>
        <v>539806.61070933274</v>
      </c>
      <c r="Q57" s="11">
        <f t="shared" si="12"/>
        <v>169078.47503028781</v>
      </c>
      <c r="R57" s="11">
        <f t="shared" si="13"/>
        <v>-670.70971380634614</v>
      </c>
      <c r="S57" s="11">
        <f t="shared" si="14"/>
        <v>-1908.7090389256377</v>
      </c>
      <c r="T57" s="11">
        <f t="shared" si="1"/>
        <v>-334.27309102341724</v>
      </c>
    </row>
    <row r="58" spans="1:20">
      <c r="A58">
        <v>48</v>
      </c>
      <c r="B58" s="12">
        <f t="shared" si="2"/>
        <v>3819.3223637236229</v>
      </c>
      <c r="C58" s="12">
        <f t="shared" si="15"/>
        <v>2471.5209045269662</v>
      </c>
      <c r="D58" s="12">
        <f t="shared" si="16"/>
        <v>1347.8014591966567</v>
      </c>
      <c r="E58" s="12">
        <f t="shared" si="17"/>
        <v>740108.46989889327</v>
      </c>
      <c r="F58" s="12">
        <f t="shared" si="3"/>
        <v>1081412.5767876967</v>
      </c>
      <c r="G58" s="12">
        <f t="shared" si="4"/>
        <v>341304.10688880342</v>
      </c>
      <c r="H58" s="12">
        <f t="shared" si="5"/>
        <v>-499.07190418752202</v>
      </c>
      <c r="I58" s="12">
        <f t="shared" si="6"/>
        <v>-2970.5928087144885</v>
      </c>
      <c r="J58" s="12">
        <f t="shared" si="0"/>
        <v>-1078.1207993360194</v>
      </c>
      <c r="K58" s="12"/>
      <c r="L58" s="11">
        <f t="shared" si="7"/>
        <v>1909.6611818618114</v>
      </c>
      <c r="M58" s="11">
        <f t="shared" si="8"/>
        <v>1235.7604522634831</v>
      </c>
      <c r="N58" s="11">
        <f t="shared" si="9"/>
        <v>673.90072959832833</v>
      </c>
      <c r="O58" s="11">
        <f t="shared" si="10"/>
        <v>370054.23494944663</v>
      </c>
      <c r="P58" s="11">
        <f t="shared" si="11"/>
        <v>540706.28839384834</v>
      </c>
      <c r="Q58" s="11">
        <f t="shared" si="12"/>
        <v>170652.05344440171</v>
      </c>
      <c r="R58" s="11">
        <f t="shared" si="13"/>
        <v>-671.82756332935674</v>
      </c>
      <c r="S58" s="11">
        <f t="shared" si="14"/>
        <v>-1907.5880155928398</v>
      </c>
      <c r="T58" s="11">
        <f t="shared" si="1"/>
        <v>-330.52800777744869</v>
      </c>
    </row>
    <row r="59" spans="1:20">
      <c r="A59">
        <v>49</v>
      </c>
      <c r="B59" s="12">
        <f t="shared" si="2"/>
        <v>3819.3223637236229</v>
      </c>
      <c r="C59" s="12">
        <f t="shared" si="15"/>
        <v>2467.0282329963106</v>
      </c>
      <c r="D59" s="12">
        <f t="shared" si="16"/>
        <v>1352.2941307273122</v>
      </c>
      <c r="E59" s="12">
        <f t="shared" si="17"/>
        <v>738756.17576816597</v>
      </c>
      <c r="F59" s="12">
        <f t="shared" si="3"/>
        <v>1083214.931082343</v>
      </c>
      <c r="G59" s="12">
        <f t="shared" si="4"/>
        <v>344458.75531417702</v>
      </c>
      <c r="H59" s="12">
        <f t="shared" si="5"/>
        <v>-499.90369069450122</v>
      </c>
      <c r="I59" s="12">
        <f t="shared" si="6"/>
        <v>-2966.9319236908118</v>
      </c>
      <c r="J59" s="12">
        <f t="shared" si="0"/>
        <v>-1071.3057942967116</v>
      </c>
      <c r="K59" s="12"/>
      <c r="L59" s="11">
        <f t="shared" si="7"/>
        <v>1909.6611818618114</v>
      </c>
      <c r="M59" s="11">
        <f t="shared" si="8"/>
        <v>1233.5141164981553</v>
      </c>
      <c r="N59" s="11">
        <f t="shared" si="9"/>
        <v>676.14706536365611</v>
      </c>
      <c r="O59" s="11">
        <f t="shared" si="10"/>
        <v>369378.08788408298</v>
      </c>
      <c r="P59" s="11">
        <f t="shared" si="11"/>
        <v>541607.46554117149</v>
      </c>
      <c r="Q59" s="11">
        <f t="shared" si="12"/>
        <v>172229.37765708851</v>
      </c>
      <c r="R59" s="11">
        <f t="shared" si="13"/>
        <v>-672.94727593490563</v>
      </c>
      <c r="S59" s="11">
        <f t="shared" si="14"/>
        <v>-1906.4613924330611</v>
      </c>
      <c r="T59" s="11">
        <f t="shared" si="1"/>
        <v>-326.7729512713106</v>
      </c>
    </row>
    <row r="60" spans="1:20">
      <c r="A60">
        <v>50</v>
      </c>
      <c r="B60" s="12">
        <f t="shared" si="2"/>
        <v>3819.3223637236229</v>
      </c>
      <c r="C60" s="12">
        <f t="shared" si="15"/>
        <v>2462.5205858938866</v>
      </c>
      <c r="D60" s="12">
        <f t="shared" si="16"/>
        <v>1356.8017778297362</v>
      </c>
      <c r="E60" s="12">
        <f t="shared" si="17"/>
        <v>737399.3739903362</v>
      </c>
      <c r="F60" s="12">
        <f t="shared" si="3"/>
        <v>1085020.2893008136</v>
      </c>
      <c r="G60" s="12">
        <f t="shared" si="4"/>
        <v>347620.91531047737</v>
      </c>
      <c r="H60" s="12">
        <f t="shared" si="5"/>
        <v>-500.73686351232539</v>
      </c>
      <c r="I60" s="12">
        <f t="shared" si="6"/>
        <v>-2963.2574494062119</v>
      </c>
      <c r="J60" s="12">
        <f t="shared" si="0"/>
        <v>-1064.4719431297885</v>
      </c>
      <c r="K60" s="12"/>
      <c r="L60" s="11">
        <f t="shared" si="7"/>
        <v>1909.6611818618114</v>
      </c>
      <c r="M60" s="11">
        <f t="shared" si="8"/>
        <v>1231.2602929469433</v>
      </c>
      <c r="N60" s="11">
        <f t="shared" si="9"/>
        <v>678.40088891486812</v>
      </c>
      <c r="O60" s="11">
        <f t="shared" si="10"/>
        <v>368699.6869951681</v>
      </c>
      <c r="P60" s="11">
        <f t="shared" si="11"/>
        <v>542510.14465040679</v>
      </c>
      <c r="Q60" s="11">
        <f t="shared" si="12"/>
        <v>173810.45765523869</v>
      </c>
      <c r="R60" s="11">
        <f t="shared" si="13"/>
        <v>-674.06885472813053</v>
      </c>
      <c r="S60" s="11">
        <f t="shared" si="14"/>
        <v>-1905.3291476750737</v>
      </c>
      <c r="T60" s="11">
        <f t="shared" si="1"/>
        <v>-323.00789244472071</v>
      </c>
    </row>
    <row r="61" spans="1:20">
      <c r="A61">
        <v>51</v>
      </c>
      <c r="B61" s="12">
        <f t="shared" si="2"/>
        <v>3819.3223637236229</v>
      </c>
      <c r="C61" s="12">
        <f t="shared" si="15"/>
        <v>2457.9979133011207</v>
      </c>
      <c r="D61" s="12">
        <f t="shared" si="16"/>
        <v>1361.3244504225022</v>
      </c>
      <c r="E61" s="12">
        <f t="shared" si="17"/>
        <v>736038.04953991366</v>
      </c>
      <c r="F61" s="12">
        <f t="shared" si="3"/>
        <v>1086828.6564496483</v>
      </c>
      <c r="G61" s="12">
        <f t="shared" si="4"/>
        <v>350790.60690973466</v>
      </c>
      <c r="H61" s="12">
        <f t="shared" si="5"/>
        <v>-501.5714249515126</v>
      </c>
      <c r="I61" s="12">
        <f t="shared" si="6"/>
        <v>-2959.5693382526333</v>
      </c>
      <c r="J61" s="12">
        <f t="shared" si="0"/>
        <v>-1057.6191894657491</v>
      </c>
      <c r="K61" s="12"/>
      <c r="L61" s="11">
        <f t="shared" si="7"/>
        <v>1909.6611818618114</v>
      </c>
      <c r="M61" s="11">
        <f t="shared" si="8"/>
        <v>1228.9989566505603</v>
      </c>
      <c r="N61" s="11">
        <f t="shared" si="9"/>
        <v>680.6622252112511</v>
      </c>
      <c r="O61" s="11">
        <f t="shared" si="10"/>
        <v>368019.02476995683</v>
      </c>
      <c r="P61" s="11">
        <f t="shared" si="11"/>
        <v>543414.32822482416</v>
      </c>
      <c r="Q61" s="11">
        <f t="shared" si="12"/>
        <v>175395.30345486733</v>
      </c>
      <c r="R61" s="11">
        <f t="shared" si="13"/>
        <v>-675.19230281934415</v>
      </c>
      <c r="S61" s="11">
        <f t="shared" si="14"/>
        <v>-1904.1912594699045</v>
      </c>
      <c r="T61" s="11">
        <f t="shared" si="1"/>
        <v>-319.23280214750071</v>
      </c>
    </row>
    <row r="62" spans="1:20">
      <c r="A62">
        <v>52</v>
      </c>
      <c r="B62" s="12">
        <f t="shared" si="2"/>
        <v>3819.3223637236229</v>
      </c>
      <c r="C62" s="12">
        <f t="shared" si="15"/>
        <v>2453.4601651330454</v>
      </c>
      <c r="D62" s="12">
        <f t="shared" si="16"/>
        <v>1365.8621985905775</v>
      </c>
      <c r="E62" s="12">
        <f t="shared" si="17"/>
        <v>734672.18734132312</v>
      </c>
      <c r="F62" s="12">
        <f t="shared" si="3"/>
        <v>1088640.037543731</v>
      </c>
      <c r="G62" s="12">
        <f t="shared" si="4"/>
        <v>353967.85020240792</v>
      </c>
      <c r="H62" s="12">
        <f t="shared" si="5"/>
        <v>-502.4073773264318</v>
      </c>
      <c r="I62" s="12">
        <f t="shared" si="6"/>
        <v>-2955.8675424594771</v>
      </c>
      <c r="J62" s="12">
        <f t="shared" si="0"/>
        <v>-1050.7474767579481</v>
      </c>
      <c r="K62" s="12"/>
      <c r="L62" s="11">
        <f t="shared" si="7"/>
        <v>1909.6611818618114</v>
      </c>
      <c r="M62" s="11">
        <f t="shared" si="8"/>
        <v>1226.7300825665227</v>
      </c>
      <c r="N62" s="11">
        <f t="shared" si="9"/>
        <v>682.93109929528873</v>
      </c>
      <c r="O62" s="11">
        <f t="shared" si="10"/>
        <v>367336.09367066156</v>
      </c>
      <c r="P62" s="11">
        <f t="shared" si="11"/>
        <v>544320.01877186552</v>
      </c>
      <c r="Q62" s="11">
        <f t="shared" si="12"/>
        <v>176983.92510120396</v>
      </c>
      <c r="R62" s="11">
        <f t="shared" si="13"/>
        <v>-676.3176233240431</v>
      </c>
      <c r="S62" s="11">
        <f t="shared" si="14"/>
        <v>-1903.0477058905658</v>
      </c>
      <c r="T62" s="11">
        <f t="shared" si="1"/>
        <v>-315.44765113929134</v>
      </c>
    </row>
    <row r="63" spans="1:20">
      <c r="A63">
        <v>53</v>
      </c>
      <c r="B63" s="12">
        <f t="shared" si="2"/>
        <v>3819.3223637236229</v>
      </c>
      <c r="C63" s="12">
        <f t="shared" si="15"/>
        <v>2448.9072911377439</v>
      </c>
      <c r="D63" s="12">
        <f t="shared" si="16"/>
        <v>1370.415072585879</v>
      </c>
      <c r="E63" s="12">
        <f t="shared" si="17"/>
        <v>733301.7722687372</v>
      </c>
      <c r="F63" s="12">
        <f t="shared" si="3"/>
        <v>1090454.437606304</v>
      </c>
      <c r="G63" s="12">
        <f t="shared" si="4"/>
        <v>357152.66533756675</v>
      </c>
      <c r="H63" s="12">
        <f t="shared" si="5"/>
        <v>-503.24472295530921</v>
      </c>
      <c r="I63" s="12">
        <f t="shared" si="6"/>
        <v>-2952.1520140930529</v>
      </c>
      <c r="J63" s="12">
        <f t="shared" si="0"/>
        <v>-1043.8567482820213</v>
      </c>
      <c r="K63" s="12"/>
      <c r="L63" s="11">
        <f t="shared" si="7"/>
        <v>1909.6611818618114</v>
      </c>
      <c r="M63" s="11">
        <f t="shared" si="8"/>
        <v>1224.4536455688719</v>
      </c>
      <c r="N63" s="11">
        <f t="shared" si="9"/>
        <v>685.20753629293949</v>
      </c>
      <c r="O63" s="11">
        <f t="shared" si="10"/>
        <v>366650.8861343686</v>
      </c>
      <c r="P63" s="11">
        <f t="shared" si="11"/>
        <v>545227.21880315198</v>
      </c>
      <c r="Q63" s="11">
        <f t="shared" si="12"/>
        <v>178576.33266878338</v>
      </c>
      <c r="R63" s="11">
        <f t="shared" si="13"/>
        <v>-677.44481936291652</v>
      </c>
      <c r="S63" s="11">
        <f t="shared" si="14"/>
        <v>-1901.8984649317886</v>
      </c>
      <c r="T63" s="11">
        <f t="shared" si="1"/>
        <v>-311.65241008926182</v>
      </c>
    </row>
    <row r="64" spans="1:20">
      <c r="A64">
        <v>54</v>
      </c>
      <c r="B64" s="12">
        <f t="shared" si="2"/>
        <v>3819.3223637236229</v>
      </c>
      <c r="C64" s="12">
        <f t="shared" si="15"/>
        <v>2444.3392408957907</v>
      </c>
      <c r="D64" s="12">
        <f t="shared" si="16"/>
        <v>1374.9831228278322</v>
      </c>
      <c r="E64" s="12">
        <f t="shared" si="17"/>
        <v>731926.78914590937</v>
      </c>
      <c r="F64" s="12">
        <f t="shared" si="3"/>
        <v>1092271.8616689811</v>
      </c>
      <c r="G64" s="12">
        <f t="shared" si="4"/>
        <v>360345.07252307178</v>
      </c>
      <c r="H64" s="12">
        <f t="shared" si="5"/>
        <v>-504.08346416023477</v>
      </c>
      <c r="I64" s="12">
        <f t="shared" si="6"/>
        <v>-2948.4227050560253</v>
      </c>
      <c r="J64" s="12">
        <f t="shared" si="0"/>
        <v>-1036.9469471353086</v>
      </c>
      <c r="K64" s="12"/>
      <c r="L64" s="11">
        <f t="shared" si="7"/>
        <v>1909.6611818618114</v>
      </c>
      <c r="M64" s="11">
        <f t="shared" si="8"/>
        <v>1222.1696204478953</v>
      </c>
      <c r="N64" s="11">
        <f t="shared" si="9"/>
        <v>687.49156141391609</v>
      </c>
      <c r="O64" s="11">
        <f t="shared" si="10"/>
        <v>365963.39457295468</v>
      </c>
      <c r="P64" s="11">
        <f t="shared" si="11"/>
        <v>546135.93083449057</v>
      </c>
      <c r="Q64" s="11">
        <f t="shared" si="12"/>
        <v>180172.53626153589</v>
      </c>
      <c r="R64" s="11">
        <f t="shared" si="13"/>
        <v>-678.57389406185473</v>
      </c>
      <c r="S64" s="11">
        <f t="shared" si="14"/>
        <v>-1900.7435145097502</v>
      </c>
      <c r="T64" s="11">
        <f t="shared" si="1"/>
        <v>-307.84704957581948</v>
      </c>
    </row>
    <row r="65" spans="1:20">
      <c r="A65">
        <v>55</v>
      </c>
      <c r="B65" s="12">
        <f t="shared" si="2"/>
        <v>3819.3223637236229</v>
      </c>
      <c r="C65" s="12">
        <f t="shared" si="15"/>
        <v>2439.7559638196981</v>
      </c>
      <c r="D65" s="12">
        <f t="shared" si="16"/>
        <v>1379.5663999039248</v>
      </c>
      <c r="E65" s="12">
        <f t="shared" si="17"/>
        <v>730547.2227460054</v>
      </c>
      <c r="F65" s="12">
        <f t="shared" si="3"/>
        <v>1094092.3147717628</v>
      </c>
      <c r="G65" s="12">
        <f t="shared" si="4"/>
        <v>363545.09202575742</v>
      </c>
      <c r="H65" s="12">
        <f t="shared" si="5"/>
        <v>-504.92360326716852</v>
      </c>
      <c r="I65" s="12">
        <f t="shared" si="6"/>
        <v>-2944.6795670868664</v>
      </c>
      <c r="J65" s="12">
        <f t="shared" si="0"/>
        <v>-1030.0180162362817</v>
      </c>
      <c r="K65" s="12"/>
      <c r="L65" s="11">
        <f t="shared" si="7"/>
        <v>1909.6611818618114</v>
      </c>
      <c r="M65" s="11">
        <f t="shared" si="8"/>
        <v>1219.877981909849</v>
      </c>
      <c r="N65" s="11">
        <f t="shared" si="9"/>
        <v>689.78319995196239</v>
      </c>
      <c r="O65" s="11">
        <f t="shared" si="10"/>
        <v>365273.6113730027</v>
      </c>
      <c r="P65" s="11">
        <f t="shared" si="11"/>
        <v>547046.15738588141</v>
      </c>
      <c r="Q65" s="11">
        <f t="shared" si="12"/>
        <v>181772.54601287871</v>
      </c>
      <c r="R65" s="11">
        <f t="shared" si="13"/>
        <v>-679.70485055195786</v>
      </c>
      <c r="S65" s="11">
        <f t="shared" si="14"/>
        <v>-1899.5828324618069</v>
      </c>
      <c r="T65" s="11">
        <f t="shared" si="1"/>
        <v>-304.03154008631941</v>
      </c>
    </row>
    <row r="66" spans="1:20">
      <c r="A66">
        <v>56</v>
      </c>
      <c r="B66" s="12">
        <f t="shared" si="2"/>
        <v>3819.3223637236229</v>
      </c>
      <c r="C66" s="12">
        <f t="shared" si="15"/>
        <v>2435.1574091533516</v>
      </c>
      <c r="D66" s="12">
        <f t="shared" si="16"/>
        <v>1384.1649545702712</v>
      </c>
      <c r="E66" s="12">
        <f t="shared" si="17"/>
        <v>729163.05779143516</v>
      </c>
      <c r="F66" s="12">
        <f t="shared" si="3"/>
        <v>1095915.8019630492</v>
      </c>
      <c r="G66" s="12">
        <f t="shared" si="4"/>
        <v>366752.74417161406</v>
      </c>
      <c r="H66" s="12">
        <f t="shared" si="5"/>
        <v>-505.76514260594718</v>
      </c>
      <c r="I66" s="12">
        <f t="shared" si="6"/>
        <v>-2940.9225517592986</v>
      </c>
      <c r="J66" s="12">
        <f t="shared" si="0"/>
        <v>-1023.0698983239627</v>
      </c>
      <c r="K66" s="12"/>
      <c r="L66" s="11">
        <f t="shared" si="7"/>
        <v>1909.6611818618114</v>
      </c>
      <c r="M66" s="11">
        <f t="shared" si="8"/>
        <v>1217.5787045766758</v>
      </c>
      <c r="N66" s="11">
        <f t="shared" si="9"/>
        <v>692.08247728513561</v>
      </c>
      <c r="O66" s="11">
        <f t="shared" si="10"/>
        <v>364581.52889571758</v>
      </c>
      <c r="P66" s="11">
        <f t="shared" si="11"/>
        <v>547957.90098152461</v>
      </c>
      <c r="Q66" s="11">
        <f t="shared" si="12"/>
        <v>183376.37208580703</v>
      </c>
      <c r="R66" s="11">
        <f t="shared" si="13"/>
        <v>-680.83769196954449</v>
      </c>
      <c r="S66" s="11">
        <f t="shared" si="14"/>
        <v>-1898.4163965462203</v>
      </c>
      <c r="T66" s="11">
        <f t="shared" si="1"/>
        <v>-300.20585201677341</v>
      </c>
    </row>
    <row r="67" spans="1:20">
      <c r="A67">
        <v>57</v>
      </c>
      <c r="B67" s="12">
        <f t="shared" si="2"/>
        <v>3819.3223637236229</v>
      </c>
      <c r="C67" s="12">
        <f t="shared" si="15"/>
        <v>2430.5435259714504</v>
      </c>
      <c r="D67" s="12">
        <f t="shared" si="16"/>
        <v>1388.7788377521724</v>
      </c>
      <c r="E67" s="12">
        <f t="shared" si="17"/>
        <v>727774.27895368298</v>
      </c>
      <c r="F67" s="12">
        <f t="shared" si="3"/>
        <v>1097742.3282996544</v>
      </c>
      <c r="G67" s="12">
        <f t="shared" si="4"/>
        <v>369968.04934597143</v>
      </c>
      <c r="H67" s="12">
        <f t="shared" si="5"/>
        <v>-506.60808451029044</v>
      </c>
      <c r="I67" s="12">
        <f t="shared" si="6"/>
        <v>-2937.151610481741</v>
      </c>
      <c r="J67" s="12">
        <f t="shared" si="0"/>
        <v>-1016.1025359573464</v>
      </c>
      <c r="K67" s="12"/>
      <c r="L67" s="11">
        <f t="shared" si="7"/>
        <v>1909.6611818618114</v>
      </c>
      <c r="M67" s="11">
        <f t="shared" si="8"/>
        <v>1215.2717629857252</v>
      </c>
      <c r="N67" s="11">
        <f t="shared" si="9"/>
        <v>694.38941887608621</v>
      </c>
      <c r="O67" s="11">
        <f t="shared" si="10"/>
        <v>363887.13947684149</v>
      </c>
      <c r="P67" s="11">
        <f t="shared" si="11"/>
        <v>548871.16414982721</v>
      </c>
      <c r="Q67" s="11">
        <f t="shared" si="12"/>
        <v>184984.02467298572</v>
      </c>
      <c r="R67" s="11">
        <f t="shared" si="13"/>
        <v>-681.97242145616042</v>
      </c>
      <c r="S67" s="11">
        <f t="shared" si="14"/>
        <v>-1897.2441844418856</v>
      </c>
      <c r="T67" s="11">
        <f t="shared" si="1"/>
        <v>-296.36995567155623</v>
      </c>
    </row>
    <row r="68" spans="1:20">
      <c r="A68">
        <v>58</v>
      </c>
      <c r="B68" s="12">
        <f t="shared" si="2"/>
        <v>3819.3223637236229</v>
      </c>
      <c r="C68" s="12">
        <f t="shared" si="15"/>
        <v>2425.9142631789432</v>
      </c>
      <c r="D68" s="12">
        <f t="shared" si="16"/>
        <v>1393.4081005446797</v>
      </c>
      <c r="E68" s="12">
        <f t="shared" si="17"/>
        <v>726380.87085313827</v>
      </c>
      <c r="F68" s="12">
        <f t="shared" si="3"/>
        <v>1099571.8988468205</v>
      </c>
      <c r="G68" s="12">
        <f t="shared" si="4"/>
        <v>373191.02799368219</v>
      </c>
      <c r="H68" s="12">
        <f t="shared" si="5"/>
        <v>-507.45243131780762</v>
      </c>
      <c r="I68" s="12">
        <f t="shared" si="6"/>
        <v>-2933.3666944967508</v>
      </c>
      <c r="J68" s="12">
        <f t="shared" si="0"/>
        <v>-1009.1158715148154</v>
      </c>
      <c r="K68" s="12"/>
      <c r="L68" s="11">
        <f t="shared" si="7"/>
        <v>1909.6611818618114</v>
      </c>
      <c r="M68" s="11">
        <f t="shared" si="8"/>
        <v>1212.9571315894716</v>
      </c>
      <c r="N68" s="11">
        <f t="shared" si="9"/>
        <v>696.70405027233983</v>
      </c>
      <c r="O68" s="11">
        <f t="shared" si="10"/>
        <v>363190.43542656914</v>
      </c>
      <c r="P68" s="11">
        <f t="shared" si="11"/>
        <v>549785.94942341023</v>
      </c>
      <c r="Q68" s="11">
        <f t="shared" si="12"/>
        <v>186595.51399684109</v>
      </c>
      <c r="R68" s="11">
        <f t="shared" si="13"/>
        <v>-683.10904215858739</v>
      </c>
      <c r="S68" s="11">
        <f t="shared" si="14"/>
        <v>-1896.0661737480591</v>
      </c>
      <c r="T68" s="11">
        <f t="shared" si="1"/>
        <v>-292.5238212631125</v>
      </c>
    </row>
    <row r="69" spans="1:20">
      <c r="A69">
        <v>59</v>
      </c>
      <c r="B69" s="12">
        <f t="shared" si="2"/>
        <v>3819.3223637236229</v>
      </c>
      <c r="C69" s="12">
        <f t="shared" si="15"/>
        <v>2421.2695695104608</v>
      </c>
      <c r="D69" s="12">
        <f t="shared" si="16"/>
        <v>1398.0527942131621</v>
      </c>
      <c r="E69" s="12">
        <f t="shared" si="17"/>
        <v>724982.8180589251</v>
      </c>
      <c r="F69" s="12">
        <f t="shared" si="3"/>
        <v>1101404.5186782319</v>
      </c>
      <c r="G69" s="12">
        <f t="shared" si="4"/>
        <v>376421.70061930676</v>
      </c>
      <c r="H69" s="12">
        <f t="shared" si="5"/>
        <v>-508.29818537000398</v>
      </c>
      <c r="I69" s="12">
        <f t="shared" si="6"/>
        <v>-2929.5677548804647</v>
      </c>
      <c r="J69" s="12">
        <f t="shared" si="0"/>
        <v>-1002.1098471935588</v>
      </c>
      <c r="K69" s="12"/>
      <c r="L69" s="11">
        <f t="shared" si="7"/>
        <v>1909.6611818618114</v>
      </c>
      <c r="M69" s="11">
        <f t="shared" si="8"/>
        <v>1210.6347847552304</v>
      </c>
      <c r="N69" s="11">
        <f t="shared" si="9"/>
        <v>699.02639710658104</v>
      </c>
      <c r="O69" s="11">
        <f t="shared" si="10"/>
        <v>362491.40902946255</v>
      </c>
      <c r="P69" s="11">
        <f t="shared" si="11"/>
        <v>550702.25933911593</v>
      </c>
      <c r="Q69" s="11">
        <f t="shared" si="12"/>
        <v>188210.85030965338</v>
      </c>
      <c r="R69" s="11">
        <f t="shared" si="13"/>
        <v>-684.24755722885175</v>
      </c>
      <c r="S69" s="11">
        <f t="shared" si="14"/>
        <v>-1894.8823419840821</v>
      </c>
      <c r="T69" s="11">
        <f t="shared" si="1"/>
        <v>-288.66741891166043</v>
      </c>
    </row>
    <row r="70" spans="1:20">
      <c r="A70">
        <v>60</v>
      </c>
      <c r="B70" s="12">
        <f t="shared" si="2"/>
        <v>3819.3223637236229</v>
      </c>
      <c r="C70" s="12">
        <f t="shared" si="15"/>
        <v>2416.6093935297504</v>
      </c>
      <c r="D70" s="12">
        <f t="shared" si="16"/>
        <v>1402.7129701938725</v>
      </c>
      <c r="E70" s="12">
        <f t="shared" si="17"/>
        <v>723580.10508873127</v>
      </c>
      <c r="F70" s="12">
        <f t="shared" si="3"/>
        <v>1103240.1928760291</v>
      </c>
      <c r="G70" s="12">
        <f t="shared" si="4"/>
        <v>379660.08778729779</v>
      </c>
      <c r="H70" s="12">
        <f t="shared" si="5"/>
        <v>-509.14534901228734</v>
      </c>
      <c r="I70" s="12">
        <f t="shared" si="6"/>
        <v>-2925.7547425420375</v>
      </c>
      <c r="J70" s="12">
        <f t="shared" si="0"/>
        <v>-995.08440500898678</v>
      </c>
      <c r="K70" s="12"/>
      <c r="L70" s="11">
        <f t="shared" si="7"/>
        <v>1909.6611818618114</v>
      </c>
      <c r="M70" s="11">
        <f t="shared" si="8"/>
        <v>1208.3046967648752</v>
      </c>
      <c r="N70" s="11">
        <f t="shared" si="9"/>
        <v>701.35648509693624</v>
      </c>
      <c r="O70" s="11">
        <f t="shared" si="10"/>
        <v>361790.05254436564</v>
      </c>
      <c r="P70" s="11">
        <f t="shared" si="11"/>
        <v>551620.09643801453</v>
      </c>
      <c r="Q70" s="11">
        <f t="shared" si="12"/>
        <v>189830.04389364889</v>
      </c>
      <c r="R70" s="11">
        <f t="shared" si="13"/>
        <v>-685.38796982423321</v>
      </c>
      <c r="S70" s="11">
        <f t="shared" si="14"/>
        <v>-1893.6926665891083</v>
      </c>
      <c r="T70" s="11">
        <f t="shared" si="1"/>
        <v>-284.80071864489901</v>
      </c>
    </row>
    <row r="71" spans="1:20">
      <c r="A71">
        <v>61</v>
      </c>
      <c r="B71" s="12">
        <f t="shared" si="2"/>
        <v>3819.3223637236229</v>
      </c>
      <c r="C71" s="12">
        <f t="shared" si="15"/>
        <v>2411.9336836291045</v>
      </c>
      <c r="D71" s="12">
        <f t="shared" si="16"/>
        <v>1407.3886800945183</v>
      </c>
      <c r="E71" s="12">
        <f t="shared" si="17"/>
        <v>722172.71640863677</v>
      </c>
      <c r="F71" s="12">
        <f t="shared" si="3"/>
        <v>1105078.9265308224</v>
      </c>
      <c r="G71" s="12">
        <f t="shared" si="4"/>
        <v>382906.21012218564</v>
      </c>
      <c r="H71" s="12">
        <f t="shared" si="5"/>
        <v>-509.9939245939745</v>
      </c>
      <c r="I71" s="12">
        <f t="shared" si="6"/>
        <v>-2921.927608223079</v>
      </c>
      <c r="J71" s="12">
        <f t="shared" si="0"/>
        <v>-988.03948679413998</v>
      </c>
      <c r="K71" s="12"/>
      <c r="L71" s="11">
        <f t="shared" si="7"/>
        <v>1909.6611818618114</v>
      </c>
      <c r="M71" s="11">
        <f t="shared" si="8"/>
        <v>1205.9668418145523</v>
      </c>
      <c r="N71" s="11">
        <f t="shared" si="9"/>
        <v>703.69434004725917</v>
      </c>
      <c r="O71" s="11">
        <f t="shared" si="10"/>
        <v>361086.35820431839</v>
      </c>
      <c r="P71" s="11">
        <f t="shared" si="11"/>
        <v>552539.46326541121</v>
      </c>
      <c r="Q71" s="11">
        <f t="shared" si="12"/>
        <v>191453.10506109282</v>
      </c>
      <c r="R71" s="11">
        <f t="shared" si="13"/>
        <v>-686.53028310727359</v>
      </c>
      <c r="S71" s="11">
        <f t="shared" si="14"/>
        <v>-1892.4971249218258</v>
      </c>
      <c r="T71" s="11">
        <f t="shared" si="1"/>
        <v>-280.92369039770983</v>
      </c>
    </row>
    <row r="72" spans="1:20">
      <c r="A72">
        <v>62</v>
      </c>
      <c r="B72" s="12">
        <f t="shared" si="2"/>
        <v>3819.3223637236229</v>
      </c>
      <c r="C72" s="12">
        <f t="shared" si="15"/>
        <v>2407.2423880287893</v>
      </c>
      <c r="D72" s="12">
        <f t="shared" si="16"/>
        <v>1412.0799756948336</v>
      </c>
      <c r="E72" s="12">
        <f t="shared" si="17"/>
        <v>720760.63643294189</v>
      </c>
      <c r="F72" s="12">
        <f t="shared" si="3"/>
        <v>1106920.7247417071</v>
      </c>
      <c r="G72" s="12">
        <f t="shared" si="4"/>
        <v>386160.0883087652</v>
      </c>
      <c r="H72" s="12">
        <f t="shared" si="5"/>
        <v>-510.84391446829778</v>
      </c>
      <c r="I72" s="12">
        <f t="shared" si="6"/>
        <v>-2918.0863024970872</v>
      </c>
      <c r="J72" s="12">
        <f t="shared" si="0"/>
        <v>-980.97503419910004</v>
      </c>
      <c r="K72" s="12"/>
      <c r="L72" s="11">
        <f t="shared" si="7"/>
        <v>1909.6611818618114</v>
      </c>
      <c r="M72" s="11">
        <f t="shared" si="8"/>
        <v>1203.6211940143946</v>
      </c>
      <c r="N72" s="11">
        <f t="shared" si="9"/>
        <v>706.0399878474168</v>
      </c>
      <c r="O72" s="11">
        <f t="shared" si="10"/>
        <v>360380.31821647094</v>
      </c>
      <c r="P72" s="11">
        <f t="shared" si="11"/>
        <v>553460.36237085355</v>
      </c>
      <c r="Q72" s="11">
        <f t="shared" si="12"/>
        <v>193080.0441543826</v>
      </c>
      <c r="R72" s="11">
        <f t="shared" si="13"/>
        <v>-687.67450024578579</v>
      </c>
      <c r="S72" s="11">
        <f t="shared" si="14"/>
        <v>-1891.2956942601804</v>
      </c>
      <c r="T72" s="11">
        <f t="shared" si="1"/>
        <v>-277.03630401185774</v>
      </c>
    </row>
    <row r="73" spans="1:20">
      <c r="A73">
        <v>63</v>
      </c>
      <c r="B73" s="12">
        <f t="shared" si="2"/>
        <v>3819.3223637236229</v>
      </c>
      <c r="C73" s="12">
        <f t="shared" si="15"/>
        <v>2402.5354547764732</v>
      </c>
      <c r="D73" s="12">
        <f t="shared" si="16"/>
        <v>1416.7869089471496</v>
      </c>
      <c r="E73" s="12">
        <f t="shared" si="17"/>
        <v>719343.84952399472</v>
      </c>
      <c r="F73" s="12">
        <f t="shared" si="3"/>
        <v>1108765.5926162766</v>
      </c>
      <c r="G73" s="12">
        <f t="shared" si="4"/>
        <v>389421.74309228186</v>
      </c>
      <c r="H73" s="12">
        <f t="shared" si="5"/>
        <v>-511.69532099241161</v>
      </c>
      <c r="I73" s="12">
        <f t="shared" si="6"/>
        <v>-2914.230775768885</v>
      </c>
      <c r="J73" s="12">
        <f t="shared" si="0"/>
        <v>-973.8909886904014</v>
      </c>
      <c r="K73" s="12"/>
      <c r="L73" s="11">
        <f t="shared" si="7"/>
        <v>1909.6611818618114</v>
      </c>
      <c r="M73" s="11">
        <f t="shared" si="8"/>
        <v>1201.2677273882366</v>
      </c>
      <c r="N73" s="11">
        <f t="shared" si="9"/>
        <v>708.39345447357482</v>
      </c>
      <c r="O73" s="11">
        <f t="shared" si="10"/>
        <v>359671.92476199736</v>
      </c>
      <c r="P73" s="11">
        <f t="shared" si="11"/>
        <v>554382.79630813829</v>
      </c>
      <c r="Q73" s="11">
        <f t="shared" si="12"/>
        <v>194710.87154614093</v>
      </c>
      <c r="R73" s="11">
        <f t="shared" si="13"/>
        <v>-688.82062441286212</v>
      </c>
      <c r="S73" s="11">
        <f t="shared" si="14"/>
        <v>-1890.0883518010987</v>
      </c>
      <c r="T73" s="11">
        <f t="shared" si="1"/>
        <v>-273.13852923569539</v>
      </c>
    </row>
    <row r="74" spans="1:20">
      <c r="A74">
        <v>64</v>
      </c>
      <c r="B74" s="12">
        <f t="shared" si="2"/>
        <v>3819.3223637236229</v>
      </c>
      <c r="C74" s="12">
        <f t="shared" si="15"/>
        <v>2397.8128317466494</v>
      </c>
      <c r="D74" s="12">
        <f t="shared" si="16"/>
        <v>1421.5095319769734</v>
      </c>
      <c r="E74" s="12">
        <f t="shared" si="17"/>
        <v>717922.33999201772</v>
      </c>
      <c r="F74" s="12">
        <f t="shared" si="3"/>
        <v>1110613.5352706371</v>
      </c>
      <c r="G74" s="12">
        <f t="shared" si="4"/>
        <v>392691.19527861942</v>
      </c>
      <c r="H74" s="12">
        <f t="shared" si="5"/>
        <v>-512.54814652739901</v>
      </c>
      <c r="I74" s="12">
        <f t="shared" si="6"/>
        <v>-2910.3609782740486</v>
      </c>
      <c r="J74" s="12">
        <f t="shared" si="0"/>
        <v>-966.78729155043379</v>
      </c>
      <c r="K74" s="12"/>
      <c r="L74" s="11">
        <f t="shared" si="7"/>
        <v>1909.6611818618114</v>
      </c>
      <c r="M74" s="11">
        <f t="shared" si="8"/>
        <v>1198.9064158733247</v>
      </c>
      <c r="N74" s="11">
        <f t="shared" si="9"/>
        <v>710.75476598848672</v>
      </c>
      <c r="O74" s="11">
        <f t="shared" si="10"/>
        <v>358961.16999600886</v>
      </c>
      <c r="P74" s="11">
        <f t="shared" si="11"/>
        <v>555306.76763531857</v>
      </c>
      <c r="Q74" s="11">
        <f t="shared" si="12"/>
        <v>196345.59763930971</v>
      </c>
      <c r="R74" s="11">
        <f t="shared" si="13"/>
        <v>-689.96865878688357</v>
      </c>
      <c r="S74" s="11">
        <f t="shared" si="14"/>
        <v>-1888.8750746602082</v>
      </c>
      <c r="T74" s="11">
        <f t="shared" si="1"/>
        <v>-269.23033572386225</v>
      </c>
    </row>
    <row r="75" spans="1:20">
      <c r="A75">
        <v>65</v>
      </c>
      <c r="B75" s="12">
        <f t="shared" si="2"/>
        <v>3819.3223637236229</v>
      </c>
      <c r="C75" s="12">
        <f t="shared" si="15"/>
        <v>2393.0744666400592</v>
      </c>
      <c r="D75" s="12">
        <f t="shared" si="16"/>
        <v>1426.2478970835637</v>
      </c>
      <c r="E75" s="12">
        <f t="shared" si="17"/>
        <v>716496.0920949342</v>
      </c>
      <c r="F75" s="12">
        <f t="shared" si="3"/>
        <v>1112464.5578294215</v>
      </c>
      <c r="G75" s="12">
        <f t="shared" si="4"/>
        <v>395968.46573448728</v>
      </c>
      <c r="H75" s="12">
        <f t="shared" si="5"/>
        <v>-513.40239343827807</v>
      </c>
      <c r="I75" s="12">
        <f t="shared" si="6"/>
        <v>-2906.4768600783373</v>
      </c>
      <c r="J75" s="12">
        <f t="shared" si="0"/>
        <v>-959.66388387684992</v>
      </c>
      <c r="K75" s="12"/>
      <c r="L75" s="11">
        <f t="shared" si="7"/>
        <v>1909.6611818618114</v>
      </c>
      <c r="M75" s="11">
        <f t="shared" si="8"/>
        <v>1196.5372333200296</v>
      </c>
      <c r="N75" s="11">
        <f t="shared" si="9"/>
        <v>713.12394854178183</v>
      </c>
      <c r="O75" s="11">
        <f t="shared" si="10"/>
        <v>358248.0460474671</v>
      </c>
      <c r="P75" s="11">
        <f t="shared" si="11"/>
        <v>556232.27891471074</v>
      </c>
      <c r="Q75" s="11">
        <f t="shared" si="12"/>
        <v>197984.23286724364</v>
      </c>
      <c r="R75" s="11">
        <f t="shared" si="13"/>
        <v>-691.11860655152839</v>
      </c>
      <c r="S75" s="11">
        <f t="shared" si="14"/>
        <v>-1887.6558398715579</v>
      </c>
      <c r="T75" s="11">
        <f t="shared" si="1"/>
        <v>-265.31169303698493</v>
      </c>
    </row>
    <row r="76" spans="1:20">
      <c r="A76">
        <v>66</v>
      </c>
      <c r="B76" s="12">
        <f t="shared" ref="B76:B139" si="18">$C$5*($A$2/12*(1+$A$2/12)^(12*30))/((1+$A$2/12)^(30*12)-1)</f>
        <v>3819.3223637236229</v>
      </c>
      <c r="C76" s="12">
        <f t="shared" si="15"/>
        <v>2388.3203069831138</v>
      </c>
      <c r="D76" s="12">
        <f t="shared" si="16"/>
        <v>1431.002056740509</v>
      </c>
      <c r="E76" s="12">
        <f t="shared" si="17"/>
        <v>715065.09003819374</v>
      </c>
      <c r="F76" s="12">
        <f t="shared" si="3"/>
        <v>1114318.665425804</v>
      </c>
      <c r="G76" s="12">
        <f t="shared" si="4"/>
        <v>399253.57538761024</v>
      </c>
      <c r="H76" s="12">
        <f t="shared" si="5"/>
        <v>-514.25806409400855</v>
      </c>
      <c r="I76" s="12">
        <f t="shared" si="6"/>
        <v>-2902.5783710771225</v>
      </c>
      <c r="J76" s="12">
        <f t="shared" ref="J76:J139" si="19">F76*$H$5/12*(1-$C$2)+I76</f>
        <v>-952.52070658196567</v>
      </c>
      <c r="K76" s="12"/>
      <c r="L76" s="11">
        <f t="shared" si="7"/>
        <v>1909.6611818618114</v>
      </c>
      <c r="M76" s="11">
        <f t="shared" si="8"/>
        <v>1194.1601534915569</v>
      </c>
      <c r="N76" s="11">
        <f t="shared" si="9"/>
        <v>715.50102837025452</v>
      </c>
      <c r="O76" s="11">
        <f t="shared" si="10"/>
        <v>357532.54501909687</v>
      </c>
      <c r="P76" s="11">
        <f t="shared" si="11"/>
        <v>557159.33271290199</v>
      </c>
      <c r="Q76" s="11">
        <f t="shared" si="12"/>
        <v>199626.78769380512</v>
      </c>
      <c r="R76" s="11">
        <f t="shared" si="13"/>
        <v>-692.27047089578093</v>
      </c>
      <c r="S76" s="11">
        <f t="shared" si="14"/>
        <v>-1886.430624387338</v>
      </c>
      <c r="T76" s="11">
        <f t="shared" ref="T76:T139" si="20">P76*$H$6/12*(1-$C$2)+S76</f>
        <v>-261.38257064137383</v>
      </c>
    </row>
    <row r="77" spans="1:20">
      <c r="A77">
        <v>67</v>
      </c>
      <c r="B77" s="12">
        <f t="shared" si="18"/>
        <v>3819.3223637236229</v>
      </c>
      <c r="C77" s="12">
        <f t="shared" si="15"/>
        <v>2383.5503001273123</v>
      </c>
      <c r="D77" s="12">
        <f t="shared" si="16"/>
        <v>1435.7720635963105</v>
      </c>
      <c r="E77" s="12">
        <f t="shared" si="17"/>
        <v>713629.31797459745</v>
      </c>
      <c r="F77" s="12">
        <f t="shared" ref="F77:F140" si="21">F76*(1+$D$5/12)</f>
        <v>1116175.8632015137</v>
      </c>
      <c r="G77" s="12">
        <f t="shared" ref="G77:G140" si="22">F77-E77</f>
        <v>402546.54522691621</v>
      </c>
      <c r="H77" s="12">
        <f t="shared" ref="H77:H140" si="23">H76*(1+$D$2/12)</f>
        <v>-515.11516086749862</v>
      </c>
      <c r="I77" s="12">
        <f t="shared" ref="I77:I140" si="24">0-C77+H77</f>
        <v>-2898.6654609948109</v>
      </c>
      <c r="J77" s="12">
        <f t="shared" si="19"/>
        <v>-945.35770039216209</v>
      </c>
      <c r="K77" s="12"/>
      <c r="L77" s="11">
        <f t="shared" ref="L77:L140" si="25">$C$6*($A$2/12*(1+$A$2/12)^(12*30))/((1+$A$2/12)^(30*12)-1)</f>
        <v>1909.6611818618114</v>
      </c>
      <c r="M77" s="11">
        <f t="shared" ref="M77:M140" si="26">O76*$A$2/12</f>
        <v>1191.7751500636562</v>
      </c>
      <c r="N77" s="11">
        <f t="shared" ref="N77:N140" si="27">L77-M77</f>
        <v>717.88603179815527</v>
      </c>
      <c r="O77" s="11">
        <f t="shared" ref="O77:O140" si="28">O76-N77</f>
        <v>356814.65898729872</v>
      </c>
      <c r="P77" s="11">
        <f t="shared" ref="P77:P140" si="29">P76*(1+$D$6/12)</f>
        <v>558087.93160075683</v>
      </c>
      <c r="Q77" s="11">
        <f t="shared" ref="Q77:Q140" si="30">P77-O77</f>
        <v>201273.2726134581</v>
      </c>
      <c r="R77" s="11">
        <f t="shared" ref="R77:R140" si="31">R76*(1+$D$2/12)</f>
        <v>-693.42425501394064</v>
      </c>
      <c r="S77" s="11">
        <f t="shared" ref="S77:S140" si="32">0-M77+R77</f>
        <v>-1885.1994050775968</v>
      </c>
      <c r="T77" s="11">
        <f t="shared" si="20"/>
        <v>-257.44293790872257</v>
      </c>
    </row>
    <row r="78" spans="1:20">
      <c r="A78">
        <v>68</v>
      </c>
      <c r="B78" s="12">
        <f t="shared" si="18"/>
        <v>3819.3223637236229</v>
      </c>
      <c r="C78" s="12">
        <f t="shared" ref="C78:C141" si="33">E77*$A$2/12</f>
        <v>2378.7643932486585</v>
      </c>
      <c r="D78" s="12">
        <f t="shared" ref="D78:D141" si="34">B78-C78</f>
        <v>1440.5579704749643</v>
      </c>
      <c r="E78" s="12">
        <f t="shared" ref="E78:E141" si="35">E77-D78</f>
        <v>712188.76000412251</v>
      </c>
      <c r="F78" s="12">
        <f t="shared" si="21"/>
        <v>1118036.1563068496</v>
      </c>
      <c r="G78" s="12">
        <f t="shared" si="22"/>
        <v>405847.39630272705</v>
      </c>
      <c r="H78" s="12">
        <f t="shared" si="23"/>
        <v>-515.97368613561116</v>
      </c>
      <c r="I78" s="12">
        <f t="shared" si="24"/>
        <v>-2894.7380793842694</v>
      </c>
      <c r="J78" s="12">
        <f t="shared" si="19"/>
        <v>-938.1748058472831</v>
      </c>
      <c r="K78" s="12"/>
      <c r="L78" s="11">
        <f t="shared" si="25"/>
        <v>1909.6611818618114</v>
      </c>
      <c r="M78" s="11">
        <f t="shared" si="26"/>
        <v>1189.3821966243293</v>
      </c>
      <c r="N78" s="11">
        <f t="shared" si="27"/>
        <v>720.27898523748217</v>
      </c>
      <c r="O78" s="11">
        <f t="shared" si="28"/>
        <v>356094.38000206125</v>
      </c>
      <c r="P78" s="11">
        <f t="shared" si="29"/>
        <v>559018.07815342478</v>
      </c>
      <c r="Q78" s="11">
        <f t="shared" si="30"/>
        <v>202923.69815136353</v>
      </c>
      <c r="R78" s="11">
        <f t="shared" si="31"/>
        <v>-694.57996210563056</v>
      </c>
      <c r="S78" s="11">
        <f t="shared" si="32"/>
        <v>-1883.9621587299598</v>
      </c>
      <c r="T78" s="11">
        <f t="shared" si="20"/>
        <v>-253.49276411580445</v>
      </c>
    </row>
    <row r="79" spans="1:20">
      <c r="A79">
        <v>69</v>
      </c>
      <c r="B79" s="12">
        <f t="shared" si="18"/>
        <v>3819.3223637236229</v>
      </c>
      <c r="C79" s="12">
        <f t="shared" si="33"/>
        <v>2373.9625333470754</v>
      </c>
      <c r="D79" s="12">
        <f t="shared" si="34"/>
        <v>1445.3598303765475</v>
      </c>
      <c r="E79" s="12">
        <f t="shared" si="35"/>
        <v>710743.40017374593</v>
      </c>
      <c r="F79" s="12">
        <f t="shared" si="21"/>
        <v>1119899.5499006943</v>
      </c>
      <c r="G79" s="12">
        <f t="shared" si="22"/>
        <v>409156.14972694835</v>
      </c>
      <c r="H79" s="12">
        <f t="shared" si="23"/>
        <v>-516.83364227917048</v>
      </c>
      <c r="I79" s="12">
        <f t="shared" si="24"/>
        <v>-2890.7961756262457</v>
      </c>
      <c r="J79" s="12">
        <f t="shared" si="19"/>
        <v>-930.97196330003067</v>
      </c>
      <c r="K79" s="12"/>
      <c r="L79" s="11">
        <f t="shared" si="25"/>
        <v>1909.6611818618114</v>
      </c>
      <c r="M79" s="11">
        <f t="shared" si="26"/>
        <v>1186.9812666735377</v>
      </c>
      <c r="N79" s="11">
        <f t="shared" si="27"/>
        <v>722.67991518827375</v>
      </c>
      <c r="O79" s="11">
        <f t="shared" si="28"/>
        <v>355371.70008687297</v>
      </c>
      <c r="P79" s="11">
        <f t="shared" si="29"/>
        <v>559949.77495034714</v>
      </c>
      <c r="Q79" s="11">
        <f t="shared" si="30"/>
        <v>204578.07486347418</v>
      </c>
      <c r="R79" s="11">
        <f t="shared" si="31"/>
        <v>-695.73759537580668</v>
      </c>
      <c r="S79" s="11">
        <f t="shared" si="32"/>
        <v>-1882.7188620493444</v>
      </c>
      <c r="T79" s="11">
        <f t="shared" si="20"/>
        <v>-249.53201844416526</v>
      </c>
    </row>
    <row r="80" spans="1:20">
      <c r="A80">
        <v>70</v>
      </c>
      <c r="B80" s="12">
        <f t="shared" si="18"/>
        <v>3819.3223637236229</v>
      </c>
      <c r="C80" s="12">
        <f t="shared" si="33"/>
        <v>2369.1446672458201</v>
      </c>
      <c r="D80" s="12">
        <f t="shared" si="34"/>
        <v>1450.1776964778028</v>
      </c>
      <c r="E80" s="12">
        <f t="shared" si="35"/>
        <v>709293.22247726808</v>
      </c>
      <c r="F80" s="12">
        <f t="shared" si="21"/>
        <v>1121766.0491505289</v>
      </c>
      <c r="G80" s="12">
        <f t="shared" si="22"/>
        <v>412472.82667326077</v>
      </c>
      <c r="H80" s="12">
        <f t="shared" si="23"/>
        <v>-517.6950316829691</v>
      </c>
      <c r="I80" s="12">
        <f t="shared" si="24"/>
        <v>-2886.8396989287894</v>
      </c>
      <c r="J80" s="12">
        <f t="shared" si="19"/>
        <v>-923.74911291536409</v>
      </c>
      <c r="K80" s="12"/>
      <c r="L80" s="11">
        <f t="shared" si="25"/>
        <v>1909.6611818618114</v>
      </c>
      <c r="M80" s="11">
        <f t="shared" si="26"/>
        <v>1184.57233362291</v>
      </c>
      <c r="N80" s="11">
        <f t="shared" si="27"/>
        <v>725.08884823890139</v>
      </c>
      <c r="O80" s="11">
        <f t="shared" si="28"/>
        <v>354646.61123863404</v>
      </c>
      <c r="P80" s="11">
        <f t="shared" si="29"/>
        <v>560883.02457526443</v>
      </c>
      <c r="Q80" s="11">
        <f t="shared" si="30"/>
        <v>206236.41333663039</v>
      </c>
      <c r="R80" s="11">
        <f t="shared" si="31"/>
        <v>-696.89715803476633</v>
      </c>
      <c r="S80" s="11">
        <f t="shared" si="32"/>
        <v>-1881.4694916576764</v>
      </c>
      <c r="T80" s="11">
        <f t="shared" si="20"/>
        <v>-245.5606699798218</v>
      </c>
    </row>
    <row r="81" spans="1:20">
      <c r="A81">
        <v>71</v>
      </c>
      <c r="B81" s="12">
        <f t="shared" si="18"/>
        <v>3819.3223637236229</v>
      </c>
      <c r="C81" s="12">
        <f t="shared" si="33"/>
        <v>2364.3107415908939</v>
      </c>
      <c r="D81" s="12">
        <f t="shared" si="34"/>
        <v>1455.0116221327289</v>
      </c>
      <c r="E81" s="12">
        <f t="shared" si="35"/>
        <v>707838.21085513534</v>
      </c>
      <c r="F81" s="12">
        <f t="shared" si="21"/>
        <v>1123635.6592324465</v>
      </c>
      <c r="G81" s="12">
        <f t="shared" si="22"/>
        <v>415797.44837731111</v>
      </c>
      <c r="H81" s="12">
        <f t="shared" si="23"/>
        <v>-518.55785673577407</v>
      </c>
      <c r="I81" s="12">
        <f t="shared" si="24"/>
        <v>-2882.8685983266678</v>
      </c>
      <c r="J81" s="12">
        <f t="shared" si="19"/>
        <v>-916.50619466988633</v>
      </c>
      <c r="K81" s="12"/>
      <c r="L81" s="11">
        <f t="shared" si="25"/>
        <v>1909.6611818618114</v>
      </c>
      <c r="M81" s="11">
        <f t="shared" si="26"/>
        <v>1182.155370795447</v>
      </c>
      <c r="N81" s="11">
        <f t="shared" si="27"/>
        <v>727.50581106636446</v>
      </c>
      <c r="O81" s="11">
        <f t="shared" si="28"/>
        <v>353919.10542756767</v>
      </c>
      <c r="P81" s="11">
        <f t="shared" si="29"/>
        <v>561817.82961622323</v>
      </c>
      <c r="Q81" s="11">
        <f t="shared" si="30"/>
        <v>207898.72418865556</v>
      </c>
      <c r="R81" s="11">
        <f t="shared" si="31"/>
        <v>-698.05865329815765</v>
      </c>
      <c r="S81" s="11">
        <f t="shared" si="32"/>
        <v>-1880.2140240936046</v>
      </c>
      <c r="T81" s="11">
        <f t="shared" si="20"/>
        <v>-241.57868771295352</v>
      </c>
    </row>
    <row r="82" spans="1:20">
      <c r="A82">
        <v>72</v>
      </c>
      <c r="B82" s="12">
        <f t="shared" si="18"/>
        <v>3819.3223637236229</v>
      </c>
      <c r="C82" s="12">
        <f t="shared" si="33"/>
        <v>2359.4607028504511</v>
      </c>
      <c r="D82" s="12">
        <f t="shared" si="34"/>
        <v>1459.8616608731718</v>
      </c>
      <c r="E82" s="12">
        <f t="shared" si="35"/>
        <v>706378.34919426218</v>
      </c>
      <c r="F82" s="12">
        <f t="shared" si="21"/>
        <v>1125508.3853311671</v>
      </c>
      <c r="G82" s="12">
        <f t="shared" si="22"/>
        <v>419130.03613690496</v>
      </c>
      <c r="H82" s="12">
        <f t="shared" si="23"/>
        <v>-519.42211983033371</v>
      </c>
      <c r="I82" s="12">
        <f t="shared" si="24"/>
        <v>-2878.8828226807846</v>
      </c>
      <c r="J82" s="12">
        <f t="shared" si="19"/>
        <v>-909.24314835124233</v>
      </c>
      <c r="K82" s="12"/>
      <c r="L82" s="11">
        <f t="shared" si="25"/>
        <v>1909.6611818618114</v>
      </c>
      <c r="M82" s="11">
        <f t="shared" si="26"/>
        <v>1179.7303514252255</v>
      </c>
      <c r="N82" s="11">
        <f t="shared" si="27"/>
        <v>729.93083043658589</v>
      </c>
      <c r="O82" s="11">
        <f t="shared" si="28"/>
        <v>353189.17459713109</v>
      </c>
      <c r="P82" s="11">
        <f t="shared" si="29"/>
        <v>562754.19266558357</v>
      </c>
      <c r="Q82" s="11">
        <f t="shared" si="30"/>
        <v>209565.01806845248</v>
      </c>
      <c r="R82" s="11">
        <f t="shared" si="31"/>
        <v>-699.22208438698794</v>
      </c>
      <c r="S82" s="11">
        <f t="shared" si="32"/>
        <v>-1878.9524358122135</v>
      </c>
      <c r="T82" s="11">
        <f t="shared" si="20"/>
        <v>-237.5860405375945</v>
      </c>
    </row>
    <row r="83" spans="1:20">
      <c r="A83">
        <v>73</v>
      </c>
      <c r="B83" s="12">
        <f t="shared" si="18"/>
        <v>3819.3223637236229</v>
      </c>
      <c r="C83" s="12">
        <f t="shared" si="33"/>
        <v>2354.5944973142073</v>
      </c>
      <c r="D83" s="12">
        <f t="shared" si="34"/>
        <v>1464.7278664094156</v>
      </c>
      <c r="E83" s="12">
        <f t="shared" si="35"/>
        <v>704913.62132785271</v>
      </c>
      <c r="F83" s="12">
        <f t="shared" si="21"/>
        <v>1127384.2326400524</v>
      </c>
      <c r="G83" s="12">
        <f t="shared" si="22"/>
        <v>422470.61131219973</v>
      </c>
      <c r="H83" s="12">
        <f t="shared" si="23"/>
        <v>-520.28782336338429</v>
      </c>
      <c r="I83" s="12">
        <f t="shared" si="24"/>
        <v>-2874.8823206775915</v>
      </c>
      <c r="J83" s="12">
        <f t="shared" si="19"/>
        <v>-901.9599135574997</v>
      </c>
      <c r="K83" s="12"/>
      <c r="L83" s="11">
        <f t="shared" si="25"/>
        <v>1909.6611818618114</v>
      </c>
      <c r="M83" s="11">
        <f t="shared" si="26"/>
        <v>1177.2972486571036</v>
      </c>
      <c r="N83" s="11">
        <f t="shared" si="27"/>
        <v>732.36393320470779</v>
      </c>
      <c r="O83" s="11">
        <f t="shared" si="28"/>
        <v>352456.81066392636</v>
      </c>
      <c r="P83" s="11">
        <f t="shared" si="29"/>
        <v>563692.11632002622</v>
      </c>
      <c r="Q83" s="11">
        <f t="shared" si="30"/>
        <v>211235.30565609987</v>
      </c>
      <c r="R83" s="11">
        <f t="shared" si="31"/>
        <v>-700.38745452763294</v>
      </c>
      <c r="S83" s="11">
        <f t="shared" si="32"/>
        <v>-1877.6847031847365</v>
      </c>
      <c r="T83" s="11">
        <f t="shared" si="20"/>
        <v>-233.58269725132664</v>
      </c>
    </row>
    <row r="84" spans="1:20">
      <c r="A84">
        <v>74</v>
      </c>
      <c r="B84" s="12">
        <f t="shared" si="18"/>
        <v>3819.3223637236229</v>
      </c>
      <c r="C84" s="12">
        <f t="shared" si="33"/>
        <v>2349.7120710928425</v>
      </c>
      <c r="D84" s="12">
        <f t="shared" si="34"/>
        <v>1469.6102926307804</v>
      </c>
      <c r="E84" s="12">
        <f t="shared" si="35"/>
        <v>703444.01103522198</v>
      </c>
      <c r="F84" s="12">
        <f t="shared" si="21"/>
        <v>1129263.2063611192</v>
      </c>
      <c r="G84" s="12">
        <f t="shared" si="22"/>
        <v>425819.19532589719</v>
      </c>
      <c r="H84" s="12">
        <f t="shared" si="23"/>
        <v>-521.15496973565666</v>
      </c>
      <c r="I84" s="12">
        <f t="shared" si="24"/>
        <v>-2870.8670408284993</v>
      </c>
      <c r="J84" s="12">
        <f t="shared" si="19"/>
        <v>-894.65642969654073</v>
      </c>
      <c r="K84" s="12"/>
      <c r="L84" s="11">
        <f t="shared" si="25"/>
        <v>1909.6611818618114</v>
      </c>
      <c r="M84" s="11">
        <f t="shared" si="26"/>
        <v>1174.8560355464213</v>
      </c>
      <c r="N84" s="11">
        <f t="shared" si="27"/>
        <v>734.80514631539018</v>
      </c>
      <c r="O84" s="11">
        <f t="shared" si="28"/>
        <v>351722.00551761099</v>
      </c>
      <c r="P84" s="11">
        <f t="shared" si="29"/>
        <v>564631.60318055958</v>
      </c>
      <c r="Q84" s="11">
        <f t="shared" si="30"/>
        <v>212909.5976629486</v>
      </c>
      <c r="R84" s="11">
        <f t="shared" si="31"/>
        <v>-701.55476695184564</v>
      </c>
      <c r="S84" s="11">
        <f t="shared" si="32"/>
        <v>-1876.410802498267</v>
      </c>
      <c r="T84" s="11">
        <f t="shared" si="20"/>
        <v>-229.5686265549682</v>
      </c>
    </row>
    <row r="85" spans="1:20">
      <c r="A85">
        <v>75</v>
      </c>
      <c r="B85" s="12">
        <f t="shared" si="18"/>
        <v>3819.3223637236229</v>
      </c>
      <c r="C85" s="12">
        <f t="shared" si="33"/>
        <v>2344.8133701174065</v>
      </c>
      <c r="D85" s="12">
        <f t="shared" si="34"/>
        <v>1474.5089936062163</v>
      </c>
      <c r="E85" s="12">
        <f t="shared" si="35"/>
        <v>701969.50204161578</v>
      </c>
      <c r="F85" s="12">
        <f t="shared" si="21"/>
        <v>1131145.3117050545</v>
      </c>
      <c r="G85" s="12">
        <f t="shared" si="22"/>
        <v>429175.8096634387</v>
      </c>
      <c r="H85" s="12">
        <f t="shared" si="23"/>
        <v>-522.02356135188279</v>
      </c>
      <c r="I85" s="12">
        <f t="shared" si="24"/>
        <v>-2866.8369314692891</v>
      </c>
      <c r="J85" s="12">
        <f t="shared" si="19"/>
        <v>-887.33263598544409</v>
      </c>
      <c r="K85" s="12"/>
      <c r="L85" s="11">
        <f t="shared" si="25"/>
        <v>1909.6611818618114</v>
      </c>
      <c r="M85" s="11">
        <f t="shared" si="26"/>
        <v>1172.4066850587033</v>
      </c>
      <c r="N85" s="11">
        <f t="shared" si="27"/>
        <v>737.25449680310817</v>
      </c>
      <c r="O85" s="11">
        <f t="shared" si="28"/>
        <v>350984.75102080789</v>
      </c>
      <c r="P85" s="11">
        <f t="shared" si="29"/>
        <v>565572.65585252724</v>
      </c>
      <c r="Q85" s="11">
        <f t="shared" si="30"/>
        <v>214587.90483171935</v>
      </c>
      <c r="R85" s="11">
        <f t="shared" si="31"/>
        <v>-702.7240248967654</v>
      </c>
      <c r="S85" s="11">
        <f t="shared" si="32"/>
        <v>-1875.1307099554688</v>
      </c>
      <c r="T85" s="11">
        <f t="shared" si="20"/>
        <v>-225.54379705226461</v>
      </c>
    </row>
    <row r="86" spans="1:20">
      <c r="A86">
        <v>76</v>
      </c>
      <c r="B86" s="12">
        <f t="shared" si="18"/>
        <v>3819.3223637236229</v>
      </c>
      <c r="C86" s="12">
        <f t="shared" si="33"/>
        <v>2339.898340138719</v>
      </c>
      <c r="D86" s="12">
        <f t="shared" si="34"/>
        <v>1479.4240235849038</v>
      </c>
      <c r="E86" s="12">
        <f t="shared" si="35"/>
        <v>700490.07801803085</v>
      </c>
      <c r="F86" s="12">
        <f t="shared" si="21"/>
        <v>1133030.5538912297</v>
      </c>
      <c r="G86" s="12">
        <f t="shared" si="22"/>
        <v>432540.47587319883</v>
      </c>
      <c r="H86" s="12">
        <f t="shared" si="23"/>
        <v>-522.89360062080266</v>
      </c>
      <c r="I86" s="12">
        <f t="shared" si="24"/>
        <v>-2862.7919407595218</v>
      </c>
      <c r="J86" s="12">
        <f t="shared" si="19"/>
        <v>-879.98847144987008</v>
      </c>
      <c r="K86" s="12"/>
      <c r="L86" s="11">
        <f t="shared" si="25"/>
        <v>1909.6611818618114</v>
      </c>
      <c r="M86" s="11">
        <f t="shared" si="26"/>
        <v>1169.9491700693595</v>
      </c>
      <c r="N86" s="11">
        <f t="shared" si="27"/>
        <v>739.7120117924519</v>
      </c>
      <c r="O86" s="11">
        <f t="shared" si="28"/>
        <v>350245.03900901543</v>
      </c>
      <c r="P86" s="11">
        <f t="shared" si="29"/>
        <v>566515.27694561484</v>
      </c>
      <c r="Q86" s="11">
        <f t="shared" si="30"/>
        <v>216270.23793659941</v>
      </c>
      <c r="R86" s="11">
        <f t="shared" si="31"/>
        <v>-703.89523160492672</v>
      </c>
      <c r="S86" s="11">
        <f t="shared" si="32"/>
        <v>-1873.8444016742862</v>
      </c>
      <c r="T86" s="11">
        <f t="shared" si="20"/>
        <v>-221.50817724957642</v>
      </c>
    </row>
    <row r="87" spans="1:20">
      <c r="A87">
        <v>77</v>
      </c>
      <c r="B87" s="12">
        <f t="shared" si="18"/>
        <v>3819.3223637236229</v>
      </c>
      <c r="C87" s="12">
        <f t="shared" si="33"/>
        <v>2334.9669267267695</v>
      </c>
      <c r="D87" s="12">
        <f t="shared" si="34"/>
        <v>1484.3554369968533</v>
      </c>
      <c r="E87" s="12">
        <f t="shared" si="35"/>
        <v>699005.72258103394</v>
      </c>
      <c r="F87" s="12">
        <f t="shared" si="21"/>
        <v>1134918.9381477151</v>
      </c>
      <c r="G87" s="12">
        <f t="shared" si="22"/>
        <v>435913.21556668112</v>
      </c>
      <c r="H87" s="12">
        <f t="shared" si="23"/>
        <v>-523.76508995517065</v>
      </c>
      <c r="I87" s="12">
        <f t="shared" si="24"/>
        <v>-2858.73201668194</v>
      </c>
      <c r="J87" s="12">
        <f t="shared" si="19"/>
        <v>-872.62387492343851</v>
      </c>
      <c r="K87" s="12"/>
      <c r="L87" s="11">
        <f t="shared" si="25"/>
        <v>1909.6611818618114</v>
      </c>
      <c r="M87" s="11">
        <f t="shared" si="26"/>
        <v>1167.4834633633848</v>
      </c>
      <c r="N87" s="11">
        <f t="shared" si="27"/>
        <v>742.17771849842666</v>
      </c>
      <c r="O87" s="11">
        <f t="shared" si="28"/>
        <v>349502.86129051697</v>
      </c>
      <c r="P87" s="11">
        <f t="shared" si="29"/>
        <v>567459.46907385753</v>
      </c>
      <c r="Q87" s="11">
        <f t="shared" si="30"/>
        <v>217956.60778334056</v>
      </c>
      <c r="R87" s="11">
        <f t="shared" si="31"/>
        <v>-705.06839032426831</v>
      </c>
      <c r="S87" s="11">
        <f t="shared" si="32"/>
        <v>-1872.551853687653</v>
      </c>
      <c r="T87" s="11">
        <f t="shared" si="20"/>
        <v>-217.46173555556857</v>
      </c>
    </row>
    <row r="88" spans="1:20">
      <c r="A88">
        <v>78</v>
      </c>
      <c r="B88" s="12">
        <f t="shared" si="18"/>
        <v>3819.3223637236229</v>
      </c>
      <c r="C88" s="12">
        <f t="shared" si="33"/>
        <v>2330.0190752701133</v>
      </c>
      <c r="D88" s="12">
        <f t="shared" si="34"/>
        <v>1489.3032884535096</v>
      </c>
      <c r="E88" s="12">
        <f t="shared" si="35"/>
        <v>697516.41929258045</v>
      </c>
      <c r="F88" s="12">
        <f t="shared" si="21"/>
        <v>1136810.4697112946</v>
      </c>
      <c r="G88" s="12">
        <f t="shared" si="22"/>
        <v>439294.05041871418</v>
      </c>
      <c r="H88" s="12">
        <f t="shared" si="23"/>
        <v>-524.6380317717626</v>
      </c>
      <c r="I88" s="12">
        <f t="shared" si="24"/>
        <v>-2854.6571070418759</v>
      </c>
      <c r="J88" s="12">
        <f t="shared" si="19"/>
        <v>-865.23878504711047</v>
      </c>
      <c r="K88" s="12"/>
      <c r="L88" s="11">
        <f t="shared" si="25"/>
        <v>1909.6611818618114</v>
      </c>
      <c r="M88" s="11">
        <f t="shared" si="26"/>
        <v>1165.0095376350566</v>
      </c>
      <c r="N88" s="11">
        <f t="shared" si="27"/>
        <v>744.6516442267548</v>
      </c>
      <c r="O88" s="11">
        <f t="shared" si="28"/>
        <v>348758.20964629023</v>
      </c>
      <c r="P88" s="11">
        <f t="shared" si="29"/>
        <v>568405.23485564732</v>
      </c>
      <c r="Q88" s="11">
        <f t="shared" si="30"/>
        <v>219647.02520935709</v>
      </c>
      <c r="R88" s="11">
        <f t="shared" si="31"/>
        <v>-706.24350430814206</v>
      </c>
      <c r="S88" s="11">
        <f t="shared" si="32"/>
        <v>-1871.2530419431987</v>
      </c>
      <c r="T88" s="11">
        <f t="shared" si="20"/>
        <v>-213.40444028089405</v>
      </c>
    </row>
    <row r="89" spans="1:20">
      <c r="A89">
        <v>79</v>
      </c>
      <c r="B89" s="12">
        <f t="shared" si="18"/>
        <v>3819.3223637236229</v>
      </c>
      <c r="C89" s="12">
        <f t="shared" si="33"/>
        <v>2325.0547309752683</v>
      </c>
      <c r="D89" s="12">
        <f t="shared" si="34"/>
        <v>1494.2676327483546</v>
      </c>
      <c r="E89" s="12">
        <f t="shared" si="35"/>
        <v>696022.1516598321</v>
      </c>
      <c r="F89" s="12">
        <f t="shared" si="21"/>
        <v>1138705.1538274803</v>
      </c>
      <c r="G89" s="12">
        <f t="shared" si="22"/>
        <v>442683.00216764817</v>
      </c>
      <c r="H89" s="12">
        <f t="shared" si="23"/>
        <v>-525.51242849138225</v>
      </c>
      <c r="I89" s="12">
        <f t="shared" si="24"/>
        <v>-2850.5671594666505</v>
      </c>
      <c r="J89" s="12">
        <f t="shared" si="19"/>
        <v>-857.8331402685601</v>
      </c>
      <c r="K89" s="12"/>
      <c r="L89" s="11">
        <f t="shared" si="25"/>
        <v>1909.6611818618114</v>
      </c>
      <c r="M89" s="11">
        <f t="shared" si="26"/>
        <v>1162.5273654876341</v>
      </c>
      <c r="N89" s="11">
        <f t="shared" si="27"/>
        <v>747.13381637417729</v>
      </c>
      <c r="O89" s="11">
        <f t="shared" si="28"/>
        <v>348011.07582991605</v>
      </c>
      <c r="P89" s="11">
        <f t="shared" si="29"/>
        <v>569352.57691374014</v>
      </c>
      <c r="Q89" s="11">
        <f t="shared" si="30"/>
        <v>221341.50108382409</v>
      </c>
      <c r="R89" s="11">
        <f t="shared" si="31"/>
        <v>-707.42057681532231</v>
      </c>
      <c r="S89" s="11">
        <f t="shared" si="32"/>
        <v>-1869.9479423029566</v>
      </c>
      <c r="T89" s="11">
        <f t="shared" si="20"/>
        <v>-209.33625963788108</v>
      </c>
    </row>
    <row r="90" spans="1:20">
      <c r="A90">
        <v>80</v>
      </c>
      <c r="B90" s="12">
        <f t="shared" si="18"/>
        <v>3819.3223637236229</v>
      </c>
      <c r="C90" s="12">
        <f t="shared" si="33"/>
        <v>2320.0738388661071</v>
      </c>
      <c r="D90" s="12">
        <f t="shared" si="34"/>
        <v>1499.2485248575158</v>
      </c>
      <c r="E90" s="12">
        <f t="shared" si="35"/>
        <v>694522.90313497453</v>
      </c>
      <c r="F90" s="12">
        <f t="shared" si="21"/>
        <v>1140602.9957505262</v>
      </c>
      <c r="G90" s="12">
        <f t="shared" si="22"/>
        <v>446080.09261555166</v>
      </c>
      <c r="H90" s="12">
        <f t="shared" si="23"/>
        <v>-526.38828253886788</v>
      </c>
      <c r="I90" s="12">
        <f t="shared" si="24"/>
        <v>-2846.4621214049748</v>
      </c>
      <c r="J90" s="12">
        <f t="shared" si="19"/>
        <v>-850.40687884155432</v>
      </c>
      <c r="K90" s="12"/>
      <c r="L90" s="11">
        <f t="shared" si="25"/>
        <v>1909.6611818618114</v>
      </c>
      <c r="M90" s="11">
        <f t="shared" si="26"/>
        <v>1160.0369194330535</v>
      </c>
      <c r="N90" s="11">
        <f t="shared" si="27"/>
        <v>749.6242624287579</v>
      </c>
      <c r="O90" s="11">
        <f t="shared" si="28"/>
        <v>347261.45156748727</v>
      </c>
      <c r="P90" s="11">
        <f t="shared" si="29"/>
        <v>570301.4978752631</v>
      </c>
      <c r="Q90" s="11">
        <f t="shared" si="30"/>
        <v>223040.04630777583</v>
      </c>
      <c r="R90" s="11">
        <f t="shared" si="31"/>
        <v>-708.59961111001451</v>
      </c>
      <c r="S90" s="11">
        <f t="shared" si="32"/>
        <v>-1868.6365305430681</v>
      </c>
      <c r="T90" s="11">
        <f t="shared" si="20"/>
        <v>-205.25716174021727</v>
      </c>
    </row>
    <row r="91" spans="1:20">
      <c r="A91">
        <v>81</v>
      </c>
      <c r="B91" s="12">
        <f t="shared" si="18"/>
        <v>3819.3223637236229</v>
      </c>
      <c r="C91" s="12">
        <f t="shared" si="33"/>
        <v>2315.0763437832484</v>
      </c>
      <c r="D91" s="12">
        <f t="shared" si="34"/>
        <v>1504.2460199403745</v>
      </c>
      <c r="E91" s="12">
        <f t="shared" si="35"/>
        <v>693018.65711503418</v>
      </c>
      <c r="F91" s="12">
        <f t="shared" si="21"/>
        <v>1142504.0007434438</v>
      </c>
      <c r="G91" s="12">
        <f t="shared" si="22"/>
        <v>449485.34362840967</v>
      </c>
      <c r="H91" s="12">
        <f t="shared" si="23"/>
        <v>-527.26559634309933</v>
      </c>
      <c r="I91" s="12">
        <f t="shared" si="24"/>
        <v>-2842.3419401263477</v>
      </c>
      <c r="J91" s="12">
        <f t="shared" si="19"/>
        <v>-842.95993882532116</v>
      </c>
      <c r="K91" s="12"/>
      <c r="L91" s="11">
        <f t="shared" si="25"/>
        <v>1909.6611818618114</v>
      </c>
      <c r="M91" s="11">
        <f t="shared" si="26"/>
        <v>1157.5381718916242</v>
      </c>
      <c r="N91" s="11">
        <f t="shared" si="27"/>
        <v>752.12300997018724</v>
      </c>
      <c r="O91" s="11">
        <f t="shared" si="28"/>
        <v>346509.32855751709</v>
      </c>
      <c r="P91" s="11">
        <f t="shared" si="29"/>
        <v>571252.00037172192</v>
      </c>
      <c r="Q91" s="11">
        <f t="shared" si="30"/>
        <v>224742.67181420483</v>
      </c>
      <c r="R91" s="11">
        <f t="shared" si="31"/>
        <v>-709.78061046186451</v>
      </c>
      <c r="S91" s="11">
        <f t="shared" si="32"/>
        <v>-1867.3187823534886</v>
      </c>
      <c r="T91" s="11">
        <f t="shared" si="20"/>
        <v>-201.16711460263309</v>
      </c>
    </row>
    <row r="92" spans="1:20">
      <c r="A92">
        <v>82</v>
      </c>
      <c r="B92" s="12">
        <f t="shared" si="18"/>
        <v>3819.3223637236229</v>
      </c>
      <c r="C92" s="12">
        <f t="shared" si="33"/>
        <v>2310.0621903834472</v>
      </c>
      <c r="D92" s="12">
        <f t="shared" si="34"/>
        <v>1509.2601733401757</v>
      </c>
      <c r="E92" s="12">
        <f t="shared" si="35"/>
        <v>691509.39694169397</v>
      </c>
      <c r="F92" s="12">
        <f t="shared" si="21"/>
        <v>1144408.1740780163</v>
      </c>
      <c r="G92" s="12">
        <f t="shared" si="22"/>
        <v>452898.77713632234</v>
      </c>
      <c r="H92" s="12">
        <f t="shared" si="23"/>
        <v>-528.14437233700448</v>
      </c>
      <c r="I92" s="12">
        <f t="shared" si="24"/>
        <v>-2838.2065627204515</v>
      </c>
      <c r="J92" s="12">
        <f t="shared" si="19"/>
        <v>-835.49225808392293</v>
      </c>
      <c r="K92" s="12"/>
      <c r="L92" s="11">
        <f t="shared" si="25"/>
        <v>1909.6611818618114</v>
      </c>
      <c r="M92" s="11">
        <f t="shared" si="26"/>
        <v>1155.0310951917236</v>
      </c>
      <c r="N92" s="11">
        <f t="shared" si="27"/>
        <v>754.63008667008785</v>
      </c>
      <c r="O92" s="11">
        <f t="shared" si="28"/>
        <v>345754.69847084698</v>
      </c>
      <c r="P92" s="11">
        <f t="shared" si="29"/>
        <v>572204.08703900815</v>
      </c>
      <c r="Q92" s="11">
        <f t="shared" si="30"/>
        <v>226449.38856816117</v>
      </c>
      <c r="R92" s="11">
        <f t="shared" si="31"/>
        <v>-710.96357814596763</v>
      </c>
      <c r="S92" s="11">
        <f t="shared" si="32"/>
        <v>-1865.9946733376912</v>
      </c>
      <c r="T92" s="11">
        <f t="shared" si="20"/>
        <v>-197.06608614058428</v>
      </c>
    </row>
    <row r="93" spans="1:20">
      <c r="A93">
        <v>83</v>
      </c>
      <c r="B93" s="12">
        <f t="shared" si="18"/>
        <v>3819.3223637236229</v>
      </c>
      <c r="C93" s="12">
        <f t="shared" si="33"/>
        <v>2305.03132313898</v>
      </c>
      <c r="D93" s="12">
        <f t="shared" si="34"/>
        <v>1514.2910405846428</v>
      </c>
      <c r="E93" s="12">
        <f t="shared" si="35"/>
        <v>689995.10590110929</v>
      </c>
      <c r="F93" s="12">
        <f t="shared" si="21"/>
        <v>1146315.521034813</v>
      </c>
      <c r="G93" s="12">
        <f t="shared" si="22"/>
        <v>456320.41513370373</v>
      </c>
      <c r="H93" s="12">
        <f t="shared" si="23"/>
        <v>-529.02461295756621</v>
      </c>
      <c r="I93" s="12">
        <f t="shared" si="24"/>
        <v>-2834.0559360965462</v>
      </c>
      <c r="J93" s="12">
        <f t="shared" si="19"/>
        <v>-828.00377428562365</v>
      </c>
      <c r="K93" s="12"/>
      <c r="L93" s="11">
        <f t="shared" si="25"/>
        <v>1909.6611818618114</v>
      </c>
      <c r="M93" s="11">
        <f t="shared" si="26"/>
        <v>1152.51566156949</v>
      </c>
      <c r="N93" s="11">
        <f t="shared" si="27"/>
        <v>757.14552029232141</v>
      </c>
      <c r="O93" s="11">
        <f t="shared" si="28"/>
        <v>344997.55295055464</v>
      </c>
      <c r="P93" s="11">
        <f t="shared" si="29"/>
        <v>573157.76051740651</v>
      </c>
      <c r="Q93" s="11">
        <f t="shared" si="30"/>
        <v>228160.20756685187</v>
      </c>
      <c r="R93" s="11">
        <f t="shared" si="31"/>
        <v>-712.14851744287762</v>
      </c>
      <c r="S93" s="11">
        <f t="shared" si="32"/>
        <v>-1864.6641790123676</v>
      </c>
      <c r="T93" s="11">
        <f t="shared" si="20"/>
        <v>-192.9540441699321</v>
      </c>
    </row>
    <row r="94" spans="1:20">
      <c r="A94">
        <v>84</v>
      </c>
      <c r="B94" s="12">
        <f t="shared" si="18"/>
        <v>3819.3223637236229</v>
      </c>
      <c r="C94" s="12">
        <f t="shared" si="33"/>
        <v>2299.983686337031</v>
      </c>
      <c r="D94" s="12">
        <f t="shared" si="34"/>
        <v>1519.3386773865918</v>
      </c>
      <c r="E94" s="12">
        <f t="shared" si="35"/>
        <v>688475.76722372265</v>
      </c>
      <c r="F94" s="12">
        <f t="shared" si="21"/>
        <v>1148226.0469032044</v>
      </c>
      <c r="G94" s="12">
        <f t="shared" si="22"/>
        <v>459750.27967948176</v>
      </c>
      <c r="H94" s="12">
        <f t="shared" si="23"/>
        <v>-529.90632064582883</v>
      </c>
      <c r="I94" s="12">
        <f t="shared" si="24"/>
        <v>-2829.8900069828596</v>
      </c>
      <c r="J94" s="12">
        <f t="shared" si="19"/>
        <v>-820.49442490225215</v>
      </c>
      <c r="K94" s="12"/>
      <c r="L94" s="11">
        <f t="shared" si="25"/>
        <v>1909.6611818618114</v>
      </c>
      <c r="M94" s="11">
        <f t="shared" si="26"/>
        <v>1149.9918431685155</v>
      </c>
      <c r="N94" s="11">
        <f t="shared" si="27"/>
        <v>759.66933869329591</v>
      </c>
      <c r="O94" s="11">
        <f t="shared" si="28"/>
        <v>344237.88361186133</v>
      </c>
      <c r="P94" s="11">
        <f t="shared" si="29"/>
        <v>574113.0234516022</v>
      </c>
      <c r="Q94" s="11">
        <f t="shared" si="30"/>
        <v>229875.13983974088</v>
      </c>
      <c r="R94" s="11">
        <f t="shared" si="31"/>
        <v>-713.33543163861577</v>
      </c>
      <c r="S94" s="11">
        <f t="shared" si="32"/>
        <v>-1863.3272748071313</v>
      </c>
      <c r="T94" s="11">
        <f t="shared" si="20"/>
        <v>-188.83095640662486</v>
      </c>
    </row>
    <row r="95" spans="1:20">
      <c r="A95">
        <v>85</v>
      </c>
      <c r="B95" s="12">
        <f t="shared" si="18"/>
        <v>3819.3223637236229</v>
      </c>
      <c r="C95" s="12">
        <f t="shared" si="33"/>
        <v>2294.9192240790758</v>
      </c>
      <c r="D95" s="12">
        <f t="shared" si="34"/>
        <v>1524.4031396445471</v>
      </c>
      <c r="E95" s="12">
        <f t="shared" si="35"/>
        <v>686951.36408407812</v>
      </c>
      <c r="F95" s="12">
        <f t="shared" si="21"/>
        <v>1150139.7569813766</v>
      </c>
      <c r="G95" s="12">
        <f t="shared" si="22"/>
        <v>463188.39289729844</v>
      </c>
      <c r="H95" s="12">
        <f t="shared" si="23"/>
        <v>-530.78949784690519</v>
      </c>
      <c r="I95" s="12">
        <f t="shared" si="24"/>
        <v>-2825.7087219259811</v>
      </c>
      <c r="J95" s="12">
        <f t="shared" si="19"/>
        <v>-812.96414720857229</v>
      </c>
      <c r="K95" s="12"/>
      <c r="L95" s="11">
        <f t="shared" si="25"/>
        <v>1909.6611818618114</v>
      </c>
      <c r="M95" s="11">
        <f t="shared" si="26"/>
        <v>1147.4596120395379</v>
      </c>
      <c r="N95" s="11">
        <f t="shared" si="27"/>
        <v>762.20156982227354</v>
      </c>
      <c r="O95" s="11">
        <f t="shared" si="28"/>
        <v>343475.68204203906</v>
      </c>
      <c r="P95" s="11">
        <f t="shared" si="29"/>
        <v>575069.87849068828</v>
      </c>
      <c r="Q95" s="11">
        <f t="shared" si="30"/>
        <v>231594.19644864922</v>
      </c>
      <c r="R95" s="11">
        <f t="shared" si="31"/>
        <v>-714.52432402468014</v>
      </c>
      <c r="S95" s="11">
        <f t="shared" si="32"/>
        <v>-1861.9839360642181</v>
      </c>
      <c r="T95" s="11">
        <f t="shared" si="20"/>
        <v>-184.69679046637748</v>
      </c>
    </row>
    <row r="96" spans="1:20">
      <c r="A96">
        <v>86</v>
      </c>
      <c r="B96" s="12">
        <f t="shared" si="18"/>
        <v>3819.3223637236229</v>
      </c>
      <c r="C96" s="12">
        <f t="shared" si="33"/>
        <v>2289.8378802802604</v>
      </c>
      <c r="D96" s="12">
        <f t="shared" si="34"/>
        <v>1529.4844834433625</v>
      </c>
      <c r="E96" s="12">
        <f t="shared" si="35"/>
        <v>685421.8796006348</v>
      </c>
      <c r="F96" s="12">
        <f t="shared" si="21"/>
        <v>1152056.6565763457</v>
      </c>
      <c r="G96" s="12">
        <f t="shared" si="22"/>
        <v>466634.77697571088</v>
      </c>
      <c r="H96" s="12">
        <f t="shared" si="23"/>
        <v>-531.67414700998336</v>
      </c>
      <c r="I96" s="12">
        <f t="shared" si="24"/>
        <v>-2821.5120272902436</v>
      </c>
      <c r="J96" s="12">
        <f t="shared" si="19"/>
        <v>-805.41287828163854</v>
      </c>
      <c r="K96" s="12"/>
      <c r="L96" s="11">
        <f t="shared" si="25"/>
        <v>1909.6611818618114</v>
      </c>
      <c r="M96" s="11">
        <f t="shared" si="26"/>
        <v>1144.9189401401302</v>
      </c>
      <c r="N96" s="11">
        <f t="shared" si="27"/>
        <v>764.74224172168124</v>
      </c>
      <c r="O96" s="11">
        <f t="shared" si="28"/>
        <v>342710.9398003174</v>
      </c>
      <c r="P96" s="11">
        <f t="shared" si="29"/>
        <v>576028.32828817284</v>
      </c>
      <c r="Q96" s="11">
        <f t="shared" si="30"/>
        <v>233317.38848785544</v>
      </c>
      <c r="R96" s="11">
        <f t="shared" si="31"/>
        <v>-715.71519789805461</v>
      </c>
      <c r="S96" s="11">
        <f t="shared" si="32"/>
        <v>-1860.6341380381848</v>
      </c>
      <c r="T96" s="11">
        <f t="shared" si="20"/>
        <v>-180.5515138643475</v>
      </c>
    </row>
    <row r="97" spans="1:20">
      <c r="A97">
        <v>87</v>
      </c>
      <c r="B97" s="12">
        <f t="shared" si="18"/>
        <v>3819.3223637236229</v>
      </c>
      <c r="C97" s="12">
        <f t="shared" si="33"/>
        <v>2284.7395986687829</v>
      </c>
      <c r="D97" s="12">
        <f t="shared" si="34"/>
        <v>1534.5827650548399</v>
      </c>
      <c r="E97" s="12">
        <f t="shared" si="35"/>
        <v>683887.29683557991</v>
      </c>
      <c r="F97" s="12">
        <f t="shared" si="21"/>
        <v>1153976.751003973</v>
      </c>
      <c r="G97" s="12">
        <f t="shared" si="22"/>
        <v>470089.45416839304</v>
      </c>
      <c r="H97" s="12">
        <f t="shared" si="23"/>
        <v>-532.56027058833331</v>
      </c>
      <c r="I97" s="12">
        <f t="shared" si="24"/>
        <v>-2817.2998692571164</v>
      </c>
      <c r="J97" s="12">
        <f t="shared" si="19"/>
        <v>-797.8405550001637</v>
      </c>
      <c r="K97" s="12"/>
      <c r="L97" s="11">
        <f t="shared" si="25"/>
        <v>1909.6611818618114</v>
      </c>
      <c r="M97" s="11">
        <f t="shared" si="26"/>
        <v>1142.3697993343915</v>
      </c>
      <c r="N97" s="11">
        <f t="shared" si="27"/>
        <v>767.29138252741996</v>
      </c>
      <c r="O97" s="11">
        <f t="shared" si="28"/>
        <v>341943.64841778995</v>
      </c>
      <c r="P97" s="11">
        <f t="shared" si="29"/>
        <v>576988.37550198648</v>
      </c>
      <c r="Q97" s="11">
        <f t="shared" si="30"/>
        <v>235044.72708419652</v>
      </c>
      <c r="R97" s="11">
        <f t="shared" si="31"/>
        <v>-716.90805656121802</v>
      </c>
      <c r="S97" s="11">
        <f t="shared" si="32"/>
        <v>-1859.2778558956095</v>
      </c>
      <c r="T97" s="11">
        <f t="shared" si="20"/>
        <v>-176.39509401481541</v>
      </c>
    </row>
    <row r="98" spans="1:20">
      <c r="A98">
        <v>88</v>
      </c>
      <c r="B98" s="12">
        <f t="shared" si="18"/>
        <v>3819.3223637236229</v>
      </c>
      <c r="C98" s="12">
        <f t="shared" si="33"/>
        <v>2279.6243227852665</v>
      </c>
      <c r="D98" s="12">
        <f t="shared" si="34"/>
        <v>1539.6980409383564</v>
      </c>
      <c r="E98" s="12">
        <f t="shared" si="35"/>
        <v>682347.59879464156</v>
      </c>
      <c r="F98" s="12">
        <f t="shared" si="21"/>
        <v>1155900.0455889797</v>
      </c>
      <c r="G98" s="12">
        <f t="shared" si="22"/>
        <v>473552.44679433818</v>
      </c>
      <c r="H98" s="12">
        <f t="shared" si="23"/>
        <v>-533.4478710393139</v>
      </c>
      <c r="I98" s="12">
        <f t="shared" si="24"/>
        <v>-2813.0721938245806</v>
      </c>
      <c r="J98" s="12">
        <f t="shared" si="19"/>
        <v>-790.24711404386608</v>
      </c>
      <c r="K98" s="12"/>
      <c r="L98" s="11">
        <f t="shared" si="25"/>
        <v>1909.6611818618114</v>
      </c>
      <c r="M98" s="11">
        <f t="shared" si="26"/>
        <v>1139.8121613926332</v>
      </c>
      <c r="N98" s="11">
        <f t="shared" si="27"/>
        <v>769.84902046917819</v>
      </c>
      <c r="O98" s="11">
        <f t="shared" si="28"/>
        <v>341173.79939732078</v>
      </c>
      <c r="P98" s="11">
        <f t="shared" si="29"/>
        <v>577950.02279448987</v>
      </c>
      <c r="Q98" s="11">
        <f t="shared" si="30"/>
        <v>236776.22339716909</v>
      </c>
      <c r="R98" s="11">
        <f t="shared" si="31"/>
        <v>-718.10290332215345</v>
      </c>
      <c r="S98" s="11">
        <f t="shared" si="32"/>
        <v>-1857.9150647147867</v>
      </c>
      <c r="T98" s="11">
        <f t="shared" si="20"/>
        <v>-172.22749823085769</v>
      </c>
    </row>
    <row r="99" spans="1:20">
      <c r="A99">
        <v>89</v>
      </c>
      <c r="B99" s="12">
        <f t="shared" si="18"/>
        <v>3819.3223637236229</v>
      </c>
      <c r="C99" s="12">
        <f t="shared" si="33"/>
        <v>2274.4919959821386</v>
      </c>
      <c r="D99" s="12">
        <f t="shared" si="34"/>
        <v>1544.8303677414842</v>
      </c>
      <c r="E99" s="12">
        <f t="shared" si="35"/>
        <v>680802.76842690003</v>
      </c>
      <c r="F99" s="12">
        <f t="shared" si="21"/>
        <v>1157826.5456649614</v>
      </c>
      <c r="G99" s="12">
        <f t="shared" si="22"/>
        <v>477023.77723806142</v>
      </c>
      <c r="H99" s="12">
        <f t="shared" si="23"/>
        <v>-534.33695082437941</v>
      </c>
      <c r="I99" s="12">
        <f t="shared" si="24"/>
        <v>-2808.8289468065182</v>
      </c>
      <c r="J99" s="12">
        <f t="shared" si="19"/>
        <v>-782.63249189283601</v>
      </c>
      <c r="K99" s="12"/>
      <c r="L99" s="11">
        <f t="shared" si="25"/>
        <v>1909.6611818618114</v>
      </c>
      <c r="M99" s="11">
        <f t="shared" si="26"/>
        <v>1137.2459979910693</v>
      </c>
      <c r="N99" s="11">
        <f t="shared" si="27"/>
        <v>772.41518387074211</v>
      </c>
      <c r="O99" s="11">
        <f t="shared" si="28"/>
        <v>340401.38421345002</v>
      </c>
      <c r="P99" s="11">
        <f t="shared" si="29"/>
        <v>578913.27283248072</v>
      </c>
      <c r="Q99" s="11">
        <f t="shared" si="30"/>
        <v>238511.88861903071</v>
      </c>
      <c r="R99" s="11">
        <f t="shared" si="31"/>
        <v>-719.29974149435702</v>
      </c>
      <c r="S99" s="11">
        <f t="shared" si="32"/>
        <v>-1856.5457394854263</v>
      </c>
      <c r="T99" s="11">
        <f t="shared" si="20"/>
        <v>-168.04869372402436</v>
      </c>
    </row>
    <row r="100" spans="1:20">
      <c r="A100">
        <v>90</v>
      </c>
      <c r="B100" s="12">
        <f t="shared" si="18"/>
        <v>3819.3223637236229</v>
      </c>
      <c r="C100" s="12">
        <f t="shared" si="33"/>
        <v>2269.342561423</v>
      </c>
      <c r="D100" s="12">
        <f t="shared" si="34"/>
        <v>1549.9798023006229</v>
      </c>
      <c r="E100" s="12">
        <f t="shared" si="35"/>
        <v>679252.78862459946</v>
      </c>
      <c r="F100" s="12">
        <f t="shared" si="21"/>
        <v>1159756.256574403</v>
      </c>
      <c r="G100" s="12">
        <f t="shared" si="22"/>
        <v>480503.46794980357</v>
      </c>
      <c r="H100" s="12">
        <f t="shared" si="23"/>
        <v>-535.22751240908678</v>
      </c>
      <c r="I100" s="12">
        <f t="shared" si="24"/>
        <v>-2804.5700738320866</v>
      </c>
      <c r="J100" s="12">
        <f t="shared" si="19"/>
        <v>-774.99662482688132</v>
      </c>
      <c r="K100" s="12"/>
      <c r="L100" s="11">
        <f t="shared" si="25"/>
        <v>1909.6611818618114</v>
      </c>
      <c r="M100" s="11">
        <f t="shared" si="26"/>
        <v>1134.6712807115</v>
      </c>
      <c r="N100" s="11">
        <f t="shared" si="27"/>
        <v>774.98990115031143</v>
      </c>
      <c r="O100" s="11">
        <f t="shared" si="28"/>
        <v>339626.39431229973</v>
      </c>
      <c r="P100" s="11">
        <f t="shared" si="29"/>
        <v>579878.12828720151</v>
      </c>
      <c r="Q100" s="11">
        <f t="shared" si="30"/>
        <v>240251.73397490178</v>
      </c>
      <c r="R100" s="11">
        <f t="shared" si="31"/>
        <v>-720.49857439684763</v>
      </c>
      <c r="S100" s="11">
        <f t="shared" si="32"/>
        <v>-1855.1698551083477</v>
      </c>
      <c r="T100" s="11">
        <f t="shared" si="20"/>
        <v>-163.85864760401</v>
      </c>
    </row>
    <row r="101" spans="1:20">
      <c r="A101">
        <v>91</v>
      </c>
      <c r="B101" s="12">
        <f t="shared" si="18"/>
        <v>3819.3223637236229</v>
      </c>
      <c r="C101" s="12">
        <f t="shared" si="33"/>
        <v>2264.175962081998</v>
      </c>
      <c r="D101" s="12">
        <f t="shared" si="34"/>
        <v>1555.1464016416248</v>
      </c>
      <c r="E101" s="12">
        <f t="shared" si="35"/>
        <v>677697.6422229578</v>
      </c>
      <c r="F101" s="12">
        <f t="shared" si="21"/>
        <v>1161689.1836686938</v>
      </c>
      <c r="G101" s="12">
        <f t="shared" si="22"/>
        <v>483991.54144573596</v>
      </c>
      <c r="H101" s="12">
        <f t="shared" si="23"/>
        <v>-536.11955826310191</v>
      </c>
      <c r="I101" s="12">
        <f t="shared" si="24"/>
        <v>-2800.2955203451002</v>
      </c>
      <c r="J101" s="12">
        <f t="shared" si="19"/>
        <v>-767.33944892488603</v>
      </c>
      <c r="K101" s="12"/>
      <c r="L101" s="11">
        <f t="shared" si="25"/>
        <v>1909.6611818618114</v>
      </c>
      <c r="M101" s="11">
        <f t="shared" si="26"/>
        <v>1132.087981040999</v>
      </c>
      <c r="N101" s="11">
        <f t="shared" si="27"/>
        <v>777.57320082081242</v>
      </c>
      <c r="O101" s="11">
        <f t="shared" si="28"/>
        <v>338848.8211114789</v>
      </c>
      <c r="P101" s="11">
        <f t="shared" si="29"/>
        <v>580844.59183434688</v>
      </c>
      <c r="Q101" s="11">
        <f t="shared" si="30"/>
        <v>241995.77072286798</v>
      </c>
      <c r="R101" s="11">
        <f t="shared" si="31"/>
        <v>-721.69940535417572</v>
      </c>
      <c r="S101" s="11">
        <f t="shared" si="32"/>
        <v>-1853.7873863951747</v>
      </c>
      <c r="T101" s="11">
        <f t="shared" si="20"/>
        <v>-159.65732687832974</v>
      </c>
    </row>
    <row r="102" spans="1:20">
      <c r="A102">
        <v>92</v>
      </c>
      <c r="B102" s="12">
        <f t="shared" si="18"/>
        <v>3819.3223637236229</v>
      </c>
      <c r="C102" s="12">
        <f t="shared" si="33"/>
        <v>2258.9921407431925</v>
      </c>
      <c r="D102" s="12">
        <f t="shared" si="34"/>
        <v>1560.3302229804303</v>
      </c>
      <c r="E102" s="12">
        <f t="shared" si="35"/>
        <v>676137.31199997733</v>
      </c>
      <c r="F102" s="12">
        <f t="shared" si="21"/>
        <v>1163625.3323081415</v>
      </c>
      <c r="G102" s="12">
        <f t="shared" si="22"/>
        <v>487488.02030816418</v>
      </c>
      <c r="H102" s="12">
        <f t="shared" si="23"/>
        <v>-537.01309086020706</v>
      </c>
      <c r="I102" s="12">
        <f t="shared" si="24"/>
        <v>-2796.0052316033998</v>
      </c>
      <c r="J102" s="12">
        <f t="shared" si="19"/>
        <v>-759.6609000641522</v>
      </c>
      <c r="K102" s="12"/>
      <c r="L102" s="11">
        <f t="shared" si="25"/>
        <v>1909.6611818618114</v>
      </c>
      <c r="M102" s="11">
        <f t="shared" si="26"/>
        <v>1129.4960703715963</v>
      </c>
      <c r="N102" s="11">
        <f t="shared" si="27"/>
        <v>780.16511149021517</v>
      </c>
      <c r="O102" s="11">
        <f t="shared" si="28"/>
        <v>338068.65599998867</v>
      </c>
      <c r="P102" s="11">
        <f t="shared" si="29"/>
        <v>581812.66615407076</v>
      </c>
      <c r="Q102" s="11">
        <f t="shared" si="30"/>
        <v>243744.01015408209</v>
      </c>
      <c r="R102" s="11">
        <f t="shared" si="31"/>
        <v>-722.90223769643273</v>
      </c>
      <c r="S102" s="11">
        <f t="shared" si="32"/>
        <v>-1852.3983080680291</v>
      </c>
      <c r="T102" s="11">
        <f t="shared" si="20"/>
        <v>-155.44469845198955</v>
      </c>
    </row>
    <row r="103" spans="1:20">
      <c r="A103">
        <v>93</v>
      </c>
      <c r="B103" s="12">
        <f t="shared" si="18"/>
        <v>3819.3223637236229</v>
      </c>
      <c r="C103" s="12">
        <f t="shared" si="33"/>
        <v>2253.7910399999246</v>
      </c>
      <c r="D103" s="12">
        <f t="shared" si="34"/>
        <v>1565.5313237236983</v>
      </c>
      <c r="E103" s="12">
        <f t="shared" si="35"/>
        <v>674571.78067625361</v>
      </c>
      <c r="F103" s="12">
        <f t="shared" si="21"/>
        <v>1165564.7078619886</v>
      </c>
      <c r="G103" s="12">
        <f t="shared" si="22"/>
        <v>490992.92718573497</v>
      </c>
      <c r="H103" s="12">
        <f t="shared" si="23"/>
        <v>-537.90811267830748</v>
      </c>
      <c r="I103" s="12">
        <f t="shared" si="24"/>
        <v>-2791.6991526782322</v>
      </c>
      <c r="J103" s="12">
        <f t="shared" si="19"/>
        <v>-751.96091391975256</v>
      </c>
      <c r="K103" s="12"/>
      <c r="L103" s="11">
        <f t="shared" si="25"/>
        <v>1909.6611818618114</v>
      </c>
      <c r="M103" s="11">
        <f t="shared" si="26"/>
        <v>1126.8955199999623</v>
      </c>
      <c r="N103" s="11">
        <f t="shared" si="27"/>
        <v>782.76566186184914</v>
      </c>
      <c r="O103" s="11">
        <f t="shared" si="28"/>
        <v>337285.8903381268</v>
      </c>
      <c r="P103" s="11">
        <f t="shared" si="29"/>
        <v>582782.35393099429</v>
      </c>
      <c r="Q103" s="11">
        <f t="shared" si="30"/>
        <v>245496.46359286748</v>
      </c>
      <c r="R103" s="11">
        <f t="shared" si="31"/>
        <v>-724.10707475926017</v>
      </c>
      <c r="S103" s="11">
        <f t="shared" si="32"/>
        <v>-1851.0025947592226</v>
      </c>
      <c r="T103" s="11">
        <f t="shared" si="20"/>
        <v>-151.22072912715589</v>
      </c>
    </row>
    <row r="104" spans="1:20">
      <c r="A104">
        <v>94</v>
      </c>
      <c r="B104" s="12">
        <f t="shared" si="18"/>
        <v>3819.3223637236229</v>
      </c>
      <c r="C104" s="12">
        <f t="shared" si="33"/>
        <v>2248.5726022541789</v>
      </c>
      <c r="D104" s="12">
        <f t="shared" si="34"/>
        <v>1570.7497614694439</v>
      </c>
      <c r="E104" s="12">
        <f t="shared" si="35"/>
        <v>673001.03091478418</v>
      </c>
      <c r="F104" s="12">
        <f t="shared" si="21"/>
        <v>1167507.3157084254</v>
      </c>
      <c r="G104" s="12">
        <f t="shared" si="22"/>
        <v>494506.28479364119</v>
      </c>
      <c r="H104" s="12">
        <f t="shared" si="23"/>
        <v>-538.80462619943796</v>
      </c>
      <c r="I104" s="12">
        <f t="shared" si="24"/>
        <v>-2787.3772284536171</v>
      </c>
      <c r="J104" s="12">
        <f t="shared" si="19"/>
        <v>-744.23942596387315</v>
      </c>
      <c r="K104" s="12"/>
      <c r="L104" s="11">
        <f t="shared" si="25"/>
        <v>1909.6611818618114</v>
      </c>
      <c r="M104" s="11">
        <f t="shared" si="26"/>
        <v>1124.2863011270895</v>
      </c>
      <c r="N104" s="11">
        <f t="shared" si="27"/>
        <v>785.37488073472196</v>
      </c>
      <c r="O104" s="11">
        <f t="shared" si="28"/>
        <v>336500.51545739209</v>
      </c>
      <c r="P104" s="11">
        <f t="shared" si="29"/>
        <v>583753.65785421268</v>
      </c>
      <c r="Q104" s="11">
        <f t="shared" si="30"/>
        <v>247253.14239682059</v>
      </c>
      <c r="R104" s="11">
        <f t="shared" si="31"/>
        <v>-725.31391988385894</v>
      </c>
      <c r="S104" s="11">
        <f t="shared" si="32"/>
        <v>-1849.6002210109484</v>
      </c>
      <c r="T104" s="11">
        <f t="shared" si="20"/>
        <v>-146.98538560282805</v>
      </c>
    </row>
    <row r="105" spans="1:20">
      <c r="A105">
        <v>95</v>
      </c>
      <c r="B105" s="12">
        <f t="shared" si="18"/>
        <v>3819.3223637236229</v>
      </c>
      <c r="C105" s="12">
        <f t="shared" si="33"/>
        <v>2243.3367697159474</v>
      </c>
      <c r="D105" s="12">
        <f t="shared" si="34"/>
        <v>1575.9855940076754</v>
      </c>
      <c r="E105" s="12">
        <f t="shared" si="35"/>
        <v>671425.04532077652</v>
      </c>
      <c r="F105" s="12">
        <f t="shared" si="21"/>
        <v>1169453.1612346061</v>
      </c>
      <c r="G105" s="12">
        <f t="shared" si="22"/>
        <v>498028.11591382953</v>
      </c>
      <c r="H105" s="12">
        <f t="shared" si="23"/>
        <v>-539.70263390977038</v>
      </c>
      <c r="I105" s="12">
        <f t="shared" si="24"/>
        <v>-2783.0394036257176</v>
      </c>
      <c r="J105" s="12">
        <f t="shared" si="19"/>
        <v>-736.49637146515715</v>
      </c>
      <c r="K105" s="12"/>
      <c r="L105" s="11">
        <f t="shared" si="25"/>
        <v>1909.6611818618114</v>
      </c>
      <c r="M105" s="11">
        <f t="shared" si="26"/>
        <v>1121.6683848579737</v>
      </c>
      <c r="N105" s="11">
        <f t="shared" si="27"/>
        <v>787.99279700383772</v>
      </c>
      <c r="O105" s="11">
        <f t="shared" si="28"/>
        <v>335712.52266038826</v>
      </c>
      <c r="P105" s="11">
        <f t="shared" si="29"/>
        <v>584726.58061730303</v>
      </c>
      <c r="Q105" s="11">
        <f t="shared" si="30"/>
        <v>249014.05795691477</v>
      </c>
      <c r="R105" s="11">
        <f t="shared" si="31"/>
        <v>-726.52277641699868</v>
      </c>
      <c r="S105" s="11">
        <f t="shared" si="32"/>
        <v>-1848.1911612749723</v>
      </c>
      <c r="T105" s="11">
        <f t="shared" si="20"/>
        <v>-142.73863447450526</v>
      </c>
    </row>
    <row r="106" spans="1:20">
      <c r="A106">
        <v>96</v>
      </c>
      <c r="B106" s="12">
        <f t="shared" si="18"/>
        <v>3819.3223637236229</v>
      </c>
      <c r="C106" s="12">
        <f t="shared" si="33"/>
        <v>2238.0834844025885</v>
      </c>
      <c r="D106" s="12">
        <f t="shared" si="34"/>
        <v>1581.2388793210343</v>
      </c>
      <c r="E106" s="12">
        <f t="shared" si="35"/>
        <v>669843.8064414555</v>
      </c>
      <c r="F106" s="12">
        <f t="shared" si="21"/>
        <v>1171402.2498366637</v>
      </c>
      <c r="G106" s="12">
        <f t="shared" si="22"/>
        <v>501558.44339520822</v>
      </c>
      <c r="H106" s="12">
        <f t="shared" si="23"/>
        <v>-540.60213829962004</v>
      </c>
      <c r="I106" s="12">
        <f t="shared" si="24"/>
        <v>-2778.6856227022085</v>
      </c>
      <c r="J106" s="12">
        <f t="shared" si="19"/>
        <v>-728.73168548804733</v>
      </c>
      <c r="K106" s="12"/>
      <c r="L106" s="11">
        <f t="shared" si="25"/>
        <v>1909.6611818618114</v>
      </c>
      <c r="M106" s="11">
        <f t="shared" si="26"/>
        <v>1119.0417422012943</v>
      </c>
      <c r="N106" s="11">
        <f t="shared" si="27"/>
        <v>790.61943966051717</v>
      </c>
      <c r="O106" s="11">
        <f t="shared" si="28"/>
        <v>334921.90322072775</v>
      </c>
      <c r="P106" s="11">
        <f t="shared" si="29"/>
        <v>585701.12491833186</v>
      </c>
      <c r="Q106" s="11">
        <f t="shared" si="30"/>
        <v>250779.22169760411</v>
      </c>
      <c r="R106" s="11">
        <f t="shared" si="31"/>
        <v>-727.73364771102706</v>
      </c>
      <c r="S106" s="11">
        <f t="shared" si="32"/>
        <v>-1846.7753899123213</v>
      </c>
      <c r="T106" s="11">
        <f t="shared" si="20"/>
        <v>-138.48044223385341</v>
      </c>
    </row>
    <row r="107" spans="1:20">
      <c r="A107">
        <v>97</v>
      </c>
      <c r="B107" s="12">
        <f t="shared" si="18"/>
        <v>3819.3223637236229</v>
      </c>
      <c r="C107" s="12">
        <f t="shared" si="33"/>
        <v>2232.812688138185</v>
      </c>
      <c r="D107" s="12">
        <f t="shared" si="34"/>
        <v>1586.5096755854379</v>
      </c>
      <c r="E107" s="12">
        <f t="shared" si="35"/>
        <v>668257.29676587007</v>
      </c>
      <c r="F107" s="12">
        <f t="shared" si="21"/>
        <v>1173354.5869197249</v>
      </c>
      <c r="G107" s="12">
        <f t="shared" si="22"/>
        <v>505097.29015385488</v>
      </c>
      <c r="H107" s="12">
        <f t="shared" si="23"/>
        <v>-541.50314186345281</v>
      </c>
      <c r="I107" s="12">
        <f t="shared" si="24"/>
        <v>-2774.3158300016376</v>
      </c>
      <c r="J107" s="12">
        <f t="shared" si="19"/>
        <v>-720.94530289211889</v>
      </c>
      <c r="K107" s="12"/>
      <c r="L107" s="11">
        <f t="shared" si="25"/>
        <v>1909.6611818618114</v>
      </c>
      <c r="M107" s="11">
        <f t="shared" si="26"/>
        <v>1116.4063440690925</v>
      </c>
      <c r="N107" s="11">
        <f t="shared" si="27"/>
        <v>793.25483779271894</v>
      </c>
      <c r="O107" s="11">
        <f t="shared" si="28"/>
        <v>334128.64838293503</v>
      </c>
      <c r="P107" s="11">
        <f t="shared" si="29"/>
        <v>586677.29345986247</v>
      </c>
      <c r="Q107" s="11">
        <f t="shared" si="30"/>
        <v>252548.64507692744</v>
      </c>
      <c r="R107" s="11">
        <f t="shared" si="31"/>
        <v>-728.94653712387878</v>
      </c>
      <c r="S107" s="11">
        <f t="shared" si="32"/>
        <v>-1845.3528811929714</v>
      </c>
      <c r="T107" s="11">
        <f t="shared" si="20"/>
        <v>-134.21077526837257</v>
      </c>
    </row>
    <row r="108" spans="1:20">
      <c r="A108">
        <v>98</v>
      </c>
      <c r="B108" s="12">
        <f t="shared" si="18"/>
        <v>3819.3223637236229</v>
      </c>
      <c r="C108" s="12">
        <f t="shared" si="33"/>
        <v>2227.5243225529002</v>
      </c>
      <c r="D108" s="12">
        <f t="shared" si="34"/>
        <v>1591.7980411707226</v>
      </c>
      <c r="E108" s="12">
        <f t="shared" si="35"/>
        <v>666665.49872469937</v>
      </c>
      <c r="F108" s="12">
        <f t="shared" si="21"/>
        <v>1175310.1778979246</v>
      </c>
      <c r="G108" s="12">
        <f t="shared" si="22"/>
        <v>508644.67917322519</v>
      </c>
      <c r="H108" s="12">
        <f t="shared" si="23"/>
        <v>-542.40564709989189</v>
      </c>
      <c r="I108" s="12">
        <f t="shared" si="24"/>
        <v>-2769.9299696527924</v>
      </c>
      <c r="J108" s="12">
        <f t="shared" si="19"/>
        <v>-713.13715833142442</v>
      </c>
      <c r="K108" s="12"/>
      <c r="L108" s="11">
        <f t="shared" si="25"/>
        <v>1909.6611818618114</v>
      </c>
      <c r="M108" s="11">
        <f t="shared" si="26"/>
        <v>1113.7621612764501</v>
      </c>
      <c r="N108" s="11">
        <f t="shared" si="27"/>
        <v>795.89902058536131</v>
      </c>
      <c r="O108" s="11">
        <f t="shared" si="28"/>
        <v>333332.74936234968</v>
      </c>
      <c r="P108" s="11">
        <f t="shared" si="29"/>
        <v>587655.08894896228</v>
      </c>
      <c r="Q108" s="11">
        <f t="shared" si="30"/>
        <v>254322.33958661259</v>
      </c>
      <c r="R108" s="11">
        <f t="shared" si="31"/>
        <v>-730.16144801908524</v>
      </c>
      <c r="S108" s="11">
        <f t="shared" si="32"/>
        <v>-1843.9236092955352</v>
      </c>
      <c r="T108" s="11">
        <f t="shared" si="20"/>
        <v>-129.92959986106189</v>
      </c>
    </row>
    <row r="109" spans="1:20">
      <c r="A109">
        <v>99</v>
      </c>
      <c r="B109" s="12">
        <f t="shared" si="18"/>
        <v>3819.3223637236229</v>
      </c>
      <c r="C109" s="12">
        <f t="shared" si="33"/>
        <v>2222.2183290823314</v>
      </c>
      <c r="D109" s="12">
        <f t="shared" si="34"/>
        <v>1597.1040346412915</v>
      </c>
      <c r="E109" s="12">
        <f t="shared" si="35"/>
        <v>665068.39469005808</v>
      </c>
      <c r="F109" s="12">
        <f t="shared" si="21"/>
        <v>1177269.0281944212</v>
      </c>
      <c r="G109" s="12">
        <f t="shared" si="22"/>
        <v>512200.63350436313</v>
      </c>
      <c r="H109" s="12">
        <f t="shared" si="23"/>
        <v>-543.30965651172505</v>
      </c>
      <c r="I109" s="12">
        <f t="shared" si="24"/>
        <v>-2765.5279855940562</v>
      </c>
      <c r="J109" s="12">
        <f t="shared" si="19"/>
        <v>-705.30718625381951</v>
      </c>
      <c r="K109" s="12"/>
      <c r="L109" s="11">
        <f t="shared" si="25"/>
        <v>1909.6611818618114</v>
      </c>
      <c r="M109" s="11">
        <f t="shared" si="26"/>
        <v>1111.1091645411657</v>
      </c>
      <c r="N109" s="11">
        <f t="shared" si="27"/>
        <v>798.55201732064575</v>
      </c>
      <c r="O109" s="11">
        <f t="shared" si="28"/>
        <v>332534.19734502904</v>
      </c>
      <c r="P109" s="11">
        <f t="shared" si="29"/>
        <v>588634.5140972106</v>
      </c>
      <c r="Q109" s="11">
        <f t="shared" si="30"/>
        <v>256100.31675218156</v>
      </c>
      <c r="R109" s="11">
        <f t="shared" si="31"/>
        <v>-731.37838376578372</v>
      </c>
      <c r="S109" s="11">
        <f t="shared" si="32"/>
        <v>-1842.4875483069495</v>
      </c>
      <c r="T109" s="11">
        <f t="shared" si="20"/>
        <v>-125.63688219008532</v>
      </c>
    </row>
    <row r="110" spans="1:20">
      <c r="A110">
        <v>100</v>
      </c>
      <c r="B110" s="12">
        <f t="shared" si="18"/>
        <v>3819.3223637236229</v>
      </c>
      <c r="C110" s="12">
        <f t="shared" si="33"/>
        <v>2216.8946489668601</v>
      </c>
      <c r="D110" s="12">
        <f t="shared" si="34"/>
        <v>1602.4277147567627</v>
      </c>
      <c r="E110" s="12">
        <f t="shared" si="35"/>
        <v>663465.96697530127</v>
      </c>
      <c r="F110" s="12">
        <f t="shared" si="21"/>
        <v>1179231.143241412</v>
      </c>
      <c r="G110" s="12">
        <f t="shared" si="22"/>
        <v>515765.17626611074</v>
      </c>
      <c r="H110" s="12">
        <f t="shared" si="23"/>
        <v>-544.21517260591133</v>
      </c>
      <c r="I110" s="12">
        <f t="shared" si="24"/>
        <v>-2761.1098215727716</v>
      </c>
      <c r="J110" s="12">
        <f t="shared" si="19"/>
        <v>-697.45532090030065</v>
      </c>
      <c r="K110" s="12"/>
      <c r="L110" s="11">
        <f t="shared" si="25"/>
        <v>1909.6611818618114</v>
      </c>
      <c r="M110" s="11">
        <f t="shared" si="26"/>
        <v>1108.4473244834301</v>
      </c>
      <c r="N110" s="11">
        <f t="shared" si="27"/>
        <v>801.21385737838136</v>
      </c>
      <c r="O110" s="11">
        <f t="shared" si="28"/>
        <v>331732.98348765064</v>
      </c>
      <c r="P110" s="11">
        <f t="shared" si="29"/>
        <v>589615.571620706</v>
      </c>
      <c r="Q110" s="11">
        <f t="shared" si="30"/>
        <v>257882.58813305537</v>
      </c>
      <c r="R110" s="11">
        <f t="shared" si="31"/>
        <v>-732.59734773872674</v>
      </c>
      <c r="S110" s="11">
        <f t="shared" si="32"/>
        <v>-1841.0446722221568</v>
      </c>
      <c r="T110" s="11">
        <f t="shared" si="20"/>
        <v>-121.33258832843103</v>
      </c>
    </row>
    <row r="111" spans="1:20">
      <c r="A111">
        <v>101</v>
      </c>
      <c r="B111" s="12">
        <f t="shared" si="18"/>
        <v>3819.3223637236229</v>
      </c>
      <c r="C111" s="12">
        <f t="shared" si="33"/>
        <v>2211.5532232510045</v>
      </c>
      <c r="D111" s="12">
        <f t="shared" si="34"/>
        <v>1607.7691404726183</v>
      </c>
      <c r="E111" s="12">
        <f t="shared" si="35"/>
        <v>661858.19783482864</v>
      </c>
      <c r="F111" s="12">
        <f t="shared" si="21"/>
        <v>1181196.5284801477</v>
      </c>
      <c r="G111" s="12">
        <f t="shared" si="22"/>
        <v>519338.33064531907</v>
      </c>
      <c r="H111" s="12">
        <f t="shared" si="23"/>
        <v>-545.1221978935879</v>
      </c>
      <c r="I111" s="12">
        <f t="shared" si="24"/>
        <v>-2756.6754211445923</v>
      </c>
      <c r="J111" s="12">
        <f t="shared" si="19"/>
        <v>-689.581496304334</v>
      </c>
      <c r="K111" s="12"/>
      <c r="L111" s="11">
        <f t="shared" si="25"/>
        <v>1909.6611818618114</v>
      </c>
      <c r="M111" s="11">
        <f t="shared" si="26"/>
        <v>1105.7766116255023</v>
      </c>
      <c r="N111" s="11">
        <f t="shared" si="27"/>
        <v>803.88457023630917</v>
      </c>
      <c r="O111" s="11">
        <f t="shared" si="28"/>
        <v>330929.09891741432</v>
      </c>
      <c r="P111" s="11">
        <f t="shared" si="29"/>
        <v>590598.26424007386</v>
      </c>
      <c r="Q111" s="11">
        <f t="shared" si="30"/>
        <v>259669.16532265954</v>
      </c>
      <c r="R111" s="11">
        <f t="shared" si="31"/>
        <v>-733.81834331829134</v>
      </c>
      <c r="S111" s="11">
        <f t="shared" si="32"/>
        <v>-1839.5949549437937</v>
      </c>
      <c r="T111" s="11">
        <f t="shared" si="20"/>
        <v>-117.01668424357831</v>
      </c>
    </row>
    <row r="112" spans="1:20">
      <c r="A112">
        <v>102</v>
      </c>
      <c r="B112" s="12">
        <f t="shared" si="18"/>
        <v>3819.3223637236229</v>
      </c>
      <c r="C112" s="12">
        <f t="shared" si="33"/>
        <v>2206.1939927827621</v>
      </c>
      <c r="D112" s="12">
        <f t="shared" si="34"/>
        <v>1613.1283709408608</v>
      </c>
      <c r="E112" s="12">
        <f t="shared" si="35"/>
        <v>660245.06946388772</v>
      </c>
      <c r="F112" s="12">
        <f t="shared" si="21"/>
        <v>1183165.189360948</v>
      </c>
      <c r="G112" s="12">
        <f t="shared" si="22"/>
        <v>522920.11989706033</v>
      </c>
      <c r="H112" s="12">
        <f t="shared" si="23"/>
        <v>-546.03073489007727</v>
      </c>
      <c r="I112" s="12">
        <f t="shared" si="24"/>
        <v>-2752.2247276728394</v>
      </c>
      <c r="J112" s="12">
        <f t="shared" si="19"/>
        <v>-681.68564629118055</v>
      </c>
      <c r="K112" s="12"/>
      <c r="L112" s="11">
        <f t="shared" si="25"/>
        <v>1909.6611818618114</v>
      </c>
      <c r="M112" s="11">
        <f t="shared" si="26"/>
        <v>1103.096996391381</v>
      </c>
      <c r="N112" s="11">
        <f t="shared" si="27"/>
        <v>806.5641854704304</v>
      </c>
      <c r="O112" s="11">
        <f t="shared" si="28"/>
        <v>330122.53473194386</v>
      </c>
      <c r="P112" s="11">
        <f t="shared" si="29"/>
        <v>591582.59468047402</v>
      </c>
      <c r="Q112" s="11">
        <f t="shared" si="30"/>
        <v>261460.05994853016</v>
      </c>
      <c r="R112" s="11">
        <f t="shared" si="31"/>
        <v>-735.04137389048856</v>
      </c>
      <c r="S112" s="11">
        <f t="shared" si="32"/>
        <v>-1838.1383702818696</v>
      </c>
      <c r="T112" s="11">
        <f t="shared" si="20"/>
        <v>-112.68913579715354</v>
      </c>
    </row>
    <row r="113" spans="1:20">
      <c r="A113">
        <v>103</v>
      </c>
      <c r="B113" s="12">
        <f t="shared" si="18"/>
        <v>3819.3223637236229</v>
      </c>
      <c r="C113" s="12">
        <f t="shared" si="33"/>
        <v>2200.8168982129591</v>
      </c>
      <c r="D113" s="12">
        <f t="shared" si="34"/>
        <v>1618.5054655106637</v>
      </c>
      <c r="E113" s="12">
        <f t="shared" si="35"/>
        <v>658626.56399837707</v>
      </c>
      <c r="F113" s="12">
        <f t="shared" si="21"/>
        <v>1185137.1313432164</v>
      </c>
      <c r="G113" s="12">
        <f t="shared" si="22"/>
        <v>526510.56734483934</v>
      </c>
      <c r="H113" s="12">
        <f t="shared" si="23"/>
        <v>-546.94078611489408</v>
      </c>
      <c r="I113" s="12">
        <f t="shared" si="24"/>
        <v>-2747.757684327853</v>
      </c>
      <c r="J113" s="12">
        <f t="shared" si="19"/>
        <v>-673.76770447722447</v>
      </c>
      <c r="K113" s="12"/>
      <c r="L113" s="11">
        <f t="shared" si="25"/>
        <v>1909.6611818618114</v>
      </c>
      <c r="M113" s="11">
        <f t="shared" si="26"/>
        <v>1100.4084491064796</v>
      </c>
      <c r="N113" s="11">
        <f t="shared" si="27"/>
        <v>809.25273275533186</v>
      </c>
      <c r="O113" s="11">
        <f t="shared" si="28"/>
        <v>329313.28199918853</v>
      </c>
      <c r="P113" s="11">
        <f t="shared" si="29"/>
        <v>592568.5656716082</v>
      </c>
      <c r="Q113" s="11">
        <f t="shared" si="30"/>
        <v>263255.28367241967</v>
      </c>
      <c r="R113" s="11">
        <f t="shared" si="31"/>
        <v>-736.26644284697272</v>
      </c>
      <c r="S113" s="11">
        <f t="shared" si="32"/>
        <v>-1836.6748919534523</v>
      </c>
      <c r="T113" s="11">
        <f t="shared" si="20"/>
        <v>-108.34990874459504</v>
      </c>
    </row>
    <row r="114" spans="1:20">
      <c r="A114">
        <v>104</v>
      </c>
      <c r="B114" s="12">
        <f t="shared" si="18"/>
        <v>3819.3223637236229</v>
      </c>
      <c r="C114" s="12">
        <f t="shared" si="33"/>
        <v>2195.4218799945902</v>
      </c>
      <c r="D114" s="12">
        <f t="shared" si="34"/>
        <v>1623.9004837290327</v>
      </c>
      <c r="E114" s="12">
        <f t="shared" si="35"/>
        <v>657002.66351464798</v>
      </c>
      <c r="F114" s="12">
        <f t="shared" si="21"/>
        <v>1187112.3598954552</v>
      </c>
      <c r="G114" s="12">
        <f t="shared" si="22"/>
        <v>530109.6963808072</v>
      </c>
      <c r="H114" s="12">
        <f t="shared" si="23"/>
        <v>-547.8523540917522</v>
      </c>
      <c r="I114" s="12">
        <f t="shared" si="24"/>
        <v>-2743.2742340863424</v>
      </c>
      <c r="J114" s="12">
        <f t="shared" si="19"/>
        <v>-665.82760426929599</v>
      </c>
      <c r="K114" s="12"/>
      <c r="L114" s="11">
        <f t="shared" si="25"/>
        <v>1909.6611818618114</v>
      </c>
      <c r="M114" s="11">
        <f t="shared" si="26"/>
        <v>1097.7109399972951</v>
      </c>
      <c r="N114" s="11">
        <f t="shared" si="27"/>
        <v>811.95024186451633</v>
      </c>
      <c r="O114" s="11">
        <f t="shared" si="28"/>
        <v>328501.33175732399</v>
      </c>
      <c r="P114" s="11">
        <f t="shared" si="29"/>
        <v>593556.17994772759</v>
      </c>
      <c r="Q114" s="11">
        <f t="shared" si="30"/>
        <v>265054.8481904036</v>
      </c>
      <c r="R114" s="11">
        <f t="shared" si="31"/>
        <v>-737.49355358505102</v>
      </c>
      <c r="S114" s="11">
        <f t="shared" si="32"/>
        <v>-1835.204493582346</v>
      </c>
      <c r="T114" s="11">
        <f t="shared" si="20"/>
        <v>-103.99896873480702</v>
      </c>
    </row>
    <row r="115" spans="1:20">
      <c r="A115">
        <v>105</v>
      </c>
      <c r="B115" s="12">
        <f t="shared" si="18"/>
        <v>3819.3223637236229</v>
      </c>
      <c r="C115" s="12">
        <f t="shared" si="33"/>
        <v>2190.0088783821598</v>
      </c>
      <c r="D115" s="12">
        <f t="shared" si="34"/>
        <v>1629.3134853414631</v>
      </c>
      <c r="E115" s="12">
        <f t="shared" si="35"/>
        <v>655373.35002930649</v>
      </c>
      <c r="F115" s="12">
        <f t="shared" si="21"/>
        <v>1189090.880495281</v>
      </c>
      <c r="G115" s="12">
        <f t="shared" si="22"/>
        <v>533717.53046597447</v>
      </c>
      <c r="H115" s="12">
        <f t="shared" si="23"/>
        <v>-548.76544134857181</v>
      </c>
      <c r="I115" s="12">
        <f t="shared" si="24"/>
        <v>-2738.7743197307318</v>
      </c>
      <c r="J115" s="12">
        <f t="shared" si="19"/>
        <v>-657.86527886399017</v>
      </c>
      <c r="K115" s="12"/>
      <c r="L115" s="11">
        <f t="shared" si="25"/>
        <v>1909.6611818618114</v>
      </c>
      <c r="M115" s="11">
        <f t="shared" si="26"/>
        <v>1095.0044391910799</v>
      </c>
      <c r="N115" s="11">
        <f t="shared" si="27"/>
        <v>814.65674267073155</v>
      </c>
      <c r="O115" s="11">
        <f t="shared" si="28"/>
        <v>327686.67501465324</v>
      </c>
      <c r="P115" s="11">
        <f t="shared" si="29"/>
        <v>594545.44024764048</v>
      </c>
      <c r="Q115" s="11">
        <f t="shared" si="30"/>
        <v>266858.76523298724</v>
      </c>
      <c r="R115" s="11">
        <f t="shared" si="31"/>
        <v>-738.7227095076928</v>
      </c>
      <c r="S115" s="11">
        <f t="shared" si="32"/>
        <v>-1833.7271486987727</v>
      </c>
      <c r="T115" s="11">
        <f t="shared" si="20"/>
        <v>-99.636281309821243</v>
      </c>
    </row>
    <row r="116" spans="1:20">
      <c r="A116">
        <v>106</v>
      </c>
      <c r="B116" s="12">
        <f t="shared" si="18"/>
        <v>3819.3223637236229</v>
      </c>
      <c r="C116" s="12">
        <f t="shared" si="33"/>
        <v>2184.5778334310216</v>
      </c>
      <c r="D116" s="12">
        <f t="shared" si="34"/>
        <v>1634.7445302926012</v>
      </c>
      <c r="E116" s="12">
        <f t="shared" si="35"/>
        <v>653738.60549901391</v>
      </c>
      <c r="F116" s="12">
        <f t="shared" si="21"/>
        <v>1191072.6986294398</v>
      </c>
      <c r="G116" s="12">
        <f t="shared" si="22"/>
        <v>537334.0931304259</v>
      </c>
      <c r="H116" s="12">
        <f t="shared" si="23"/>
        <v>-549.68005041748609</v>
      </c>
      <c r="I116" s="12">
        <f t="shared" si="24"/>
        <v>-2734.2578838485078</v>
      </c>
      <c r="J116" s="12">
        <f t="shared" si="19"/>
        <v>-649.88066124698889</v>
      </c>
      <c r="K116" s="12"/>
      <c r="L116" s="11">
        <f t="shared" si="25"/>
        <v>1909.6611818618114</v>
      </c>
      <c r="M116" s="11">
        <f t="shared" si="26"/>
        <v>1092.2889167155108</v>
      </c>
      <c r="N116" s="11">
        <f t="shared" si="27"/>
        <v>817.37226514630061</v>
      </c>
      <c r="O116" s="11">
        <f t="shared" si="28"/>
        <v>326869.30274950695</v>
      </c>
      <c r="P116" s="11">
        <f t="shared" si="29"/>
        <v>595536.3493147199</v>
      </c>
      <c r="Q116" s="11">
        <f t="shared" si="30"/>
        <v>268667.04656521295</v>
      </c>
      <c r="R116" s="11">
        <f t="shared" si="31"/>
        <v>-739.95391402353903</v>
      </c>
      <c r="S116" s="11">
        <f t="shared" si="32"/>
        <v>-1832.2428307390499</v>
      </c>
      <c r="T116" s="11">
        <f t="shared" si="20"/>
        <v>-95.261811904450269</v>
      </c>
    </row>
    <row r="117" spans="1:20">
      <c r="A117">
        <v>107</v>
      </c>
      <c r="B117" s="12">
        <f t="shared" si="18"/>
        <v>3819.3223637236229</v>
      </c>
      <c r="C117" s="12">
        <f t="shared" si="33"/>
        <v>2179.1286849967132</v>
      </c>
      <c r="D117" s="12">
        <f t="shared" si="34"/>
        <v>1640.1936787269096</v>
      </c>
      <c r="E117" s="12">
        <f t="shared" si="35"/>
        <v>652098.411820287</v>
      </c>
      <c r="F117" s="12">
        <f t="shared" si="21"/>
        <v>1193057.8197938222</v>
      </c>
      <c r="G117" s="12">
        <f t="shared" si="22"/>
        <v>540959.40797353524</v>
      </c>
      <c r="H117" s="12">
        <f t="shared" si="23"/>
        <v>-550.5961838348486</v>
      </c>
      <c r="I117" s="12">
        <f t="shared" si="24"/>
        <v>-2729.7248688315617</v>
      </c>
      <c r="J117" s="12">
        <f t="shared" si="19"/>
        <v>-641.87368419237282</v>
      </c>
      <c r="K117" s="12"/>
      <c r="L117" s="11">
        <f t="shared" si="25"/>
        <v>1909.6611818618114</v>
      </c>
      <c r="M117" s="11">
        <f t="shared" si="26"/>
        <v>1089.5643424983566</v>
      </c>
      <c r="N117" s="11">
        <f t="shared" si="27"/>
        <v>820.09683936345482</v>
      </c>
      <c r="O117" s="11">
        <f t="shared" si="28"/>
        <v>326049.2059101435</v>
      </c>
      <c r="P117" s="11">
        <f t="shared" si="29"/>
        <v>596528.90989691112</v>
      </c>
      <c r="Q117" s="11">
        <f t="shared" si="30"/>
        <v>270479.70398676762</v>
      </c>
      <c r="R117" s="11">
        <f t="shared" si="31"/>
        <v>-741.1871705469116</v>
      </c>
      <c r="S117" s="11">
        <f t="shared" si="32"/>
        <v>-1830.7515130452682</v>
      </c>
      <c r="T117" s="11">
        <f t="shared" si="20"/>
        <v>-90.875525845944139</v>
      </c>
    </row>
    <row r="118" spans="1:20">
      <c r="A118">
        <v>108</v>
      </c>
      <c r="B118" s="12">
        <f t="shared" si="18"/>
        <v>3819.3223637236229</v>
      </c>
      <c r="C118" s="12">
        <f t="shared" si="33"/>
        <v>2173.6613727342901</v>
      </c>
      <c r="D118" s="12">
        <f t="shared" si="34"/>
        <v>1645.6609909893327</v>
      </c>
      <c r="E118" s="12">
        <f t="shared" si="35"/>
        <v>650452.7508292977</v>
      </c>
      <c r="F118" s="12">
        <f t="shared" si="21"/>
        <v>1195046.2494934786</v>
      </c>
      <c r="G118" s="12">
        <f t="shared" si="22"/>
        <v>544593.49866418086</v>
      </c>
      <c r="H118" s="12">
        <f t="shared" si="23"/>
        <v>-551.51384414124004</v>
      </c>
      <c r="I118" s="12">
        <f t="shared" si="24"/>
        <v>-2725.1752168755302</v>
      </c>
      <c r="J118" s="12">
        <f t="shared" si="19"/>
        <v>-633.84428026194291</v>
      </c>
      <c r="K118" s="12"/>
      <c r="L118" s="11">
        <f t="shared" si="25"/>
        <v>1909.6611818618114</v>
      </c>
      <c r="M118" s="11">
        <f t="shared" si="26"/>
        <v>1086.8306863671451</v>
      </c>
      <c r="N118" s="11">
        <f t="shared" si="27"/>
        <v>822.83049549466637</v>
      </c>
      <c r="O118" s="11">
        <f t="shared" si="28"/>
        <v>325226.37541464885</v>
      </c>
      <c r="P118" s="11">
        <f t="shared" si="29"/>
        <v>597523.12474673928</v>
      </c>
      <c r="Q118" s="11">
        <f t="shared" si="30"/>
        <v>272296.74933209043</v>
      </c>
      <c r="R118" s="11">
        <f t="shared" si="31"/>
        <v>-742.42248249782313</v>
      </c>
      <c r="S118" s="11">
        <f t="shared" si="32"/>
        <v>-1829.2531688649683</v>
      </c>
      <c r="T118" s="11">
        <f t="shared" si="20"/>
        <v>-86.47738835364521</v>
      </c>
    </row>
    <row r="119" spans="1:20">
      <c r="A119">
        <v>109</v>
      </c>
      <c r="B119" s="12">
        <f t="shared" si="18"/>
        <v>3819.3223637236229</v>
      </c>
      <c r="C119" s="12">
        <f t="shared" si="33"/>
        <v>2168.1758360976592</v>
      </c>
      <c r="D119" s="12">
        <f t="shared" si="34"/>
        <v>1651.1465276259637</v>
      </c>
      <c r="E119" s="12">
        <f t="shared" si="35"/>
        <v>648801.60430167173</v>
      </c>
      <c r="F119" s="12">
        <f t="shared" si="21"/>
        <v>1197037.9932426345</v>
      </c>
      <c r="G119" s="12">
        <f t="shared" si="22"/>
        <v>548236.38894096273</v>
      </c>
      <c r="H119" s="12">
        <f t="shared" si="23"/>
        <v>-552.43303388147547</v>
      </c>
      <c r="I119" s="12">
        <f t="shared" si="24"/>
        <v>-2720.6088699791344</v>
      </c>
      <c r="J119" s="12">
        <f t="shared" si="19"/>
        <v>-625.79238180452421</v>
      </c>
      <c r="K119" s="12"/>
      <c r="L119" s="11">
        <f t="shared" si="25"/>
        <v>1909.6611818618114</v>
      </c>
      <c r="M119" s="11">
        <f t="shared" si="26"/>
        <v>1084.0879180488296</v>
      </c>
      <c r="N119" s="11">
        <f t="shared" si="27"/>
        <v>825.57326381298185</v>
      </c>
      <c r="O119" s="11">
        <f t="shared" si="28"/>
        <v>324400.80215083587</v>
      </c>
      <c r="P119" s="11">
        <f t="shared" si="29"/>
        <v>598518.99662131723</v>
      </c>
      <c r="Q119" s="11">
        <f t="shared" si="30"/>
        <v>274118.19447048136</v>
      </c>
      <c r="R119" s="11">
        <f t="shared" si="31"/>
        <v>-743.65985330198623</v>
      </c>
      <c r="S119" s="11">
        <f t="shared" si="32"/>
        <v>-1827.7477713508158</v>
      </c>
      <c r="T119" s="11">
        <f t="shared" si="20"/>
        <v>-82.067364538640504</v>
      </c>
    </row>
    <row r="120" spans="1:20">
      <c r="A120">
        <v>110</v>
      </c>
      <c r="B120" s="12">
        <f t="shared" si="18"/>
        <v>3819.3223637236229</v>
      </c>
      <c r="C120" s="12">
        <f t="shared" si="33"/>
        <v>2162.6720143389057</v>
      </c>
      <c r="D120" s="12">
        <f t="shared" si="34"/>
        <v>1656.6503493847172</v>
      </c>
      <c r="E120" s="12">
        <f t="shared" si="35"/>
        <v>647144.95395228697</v>
      </c>
      <c r="F120" s="12">
        <f t="shared" si="21"/>
        <v>1199033.0565647057</v>
      </c>
      <c r="G120" s="12">
        <f t="shared" si="22"/>
        <v>551888.1026124187</v>
      </c>
      <c r="H120" s="12">
        <f t="shared" si="23"/>
        <v>-553.35375560461125</v>
      </c>
      <c r="I120" s="12">
        <f t="shared" si="24"/>
        <v>-2716.0257699435169</v>
      </c>
      <c r="J120" s="12">
        <f t="shared" si="19"/>
        <v>-617.71792095528235</v>
      </c>
      <c r="K120" s="12"/>
      <c r="L120" s="11">
        <f t="shared" si="25"/>
        <v>1909.6611818618114</v>
      </c>
      <c r="M120" s="11">
        <f t="shared" si="26"/>
        <v>1081.3360071694528</v>
      </c>
      <c r="N120" s="11">
        <f t="shared" si="27"/>
        <v>828.32517469235859</v>
      </c>
      <c r="O120" s="11">
        <f t="shared" si="28"/>
        <v>323572.47697614349</v>
      </c>
      <c r="P120" s="11">
        <f t="shared" si="29"/>
        <v>599516.52828235284</v>
      </c>
      <c r="Q120" s="11">
        <f t="shared" si="30"/>
        <v>275944.05130620935</v>
      </c>
      <c r="R120" s="11">
        <f t="shared" si="31"/>
        <v>-744.89928639082291</v>
      </c>
      <c r="S120" s="11">
        <f t="shared" si="32"/>
        <v>-1826.2352935602757</v>
      </c>
      <c r="T120" s="11">
        <f t="shared" si="20"/>
        <v>-77.645419403413371</v>
      </c>
    </row>
    <row r="121" spans="1:20">
      <c r="A121">
        <v>111</v>
      </c>
      <c r="B121" s="12">
        <f t="shared" si="18"/>
        <v>3819.3223637236229</v>
      </c>
      <c r="C121" s="12">
        <f t="shared" si="33"/>
        <v>2157.1498465076234</v>
      </c>
      <c r="D121" s="12">
        <f t="shared" si="34"/>
        <v>1662.1725172159995</v>
      </c>
      <c r="E121" s="12">
        <f t="shared" si="35"/>
        <v>645482.78143507103</v>
      </c>
      <c r="F121" s="12">
        <f t="shared" si="21"/>
        <v>1201031.4449923136</v>
      </c>
      <c r="G121" s="12">
        <f t="shared" si="22"/>
        <v>555548.6635572426</v>
      </c>
      <c r="H121" s="12">
        <f t="shared" si="23"/>
        <v>-554.27601186395225</v>
      </c>
      <c r="I121" s="12">
        <f t="shared" si="24"/>
        <v>-2711.4258583715755</v>
      </c>
      <c r="J121" s="12">
        <f t="shared" si="19"/>
        <v>-609.62082963502689</v>
      </c>
      <c r="K121" s="12"/>
      <c r="L121" s="11">
        <f t="shared" si="25"/>
        <v>1909.6611818618114</v>
      </c>
      <c r="M121" s="11">
        <f t="shared" si="26"/>
        <v>1078.5749232538117</v>
      </c>
      <c r="N121" s="11">
        <f t="shared" si="27"/>
        <v>831.08625860799975</v>
      </c>
      <c r="O121" s="11">
        <f t="shared" si="28"/>
        <v>322741.39071753551</v>
      </c>
      <c r="P121" s="11">
        <f t="shared" si="29"/>
        <v>600515.72249615681</v>
      </c>
      <c r="Q121" s="11">
        <f t="shared" si="30"/>
        <v>277774.3317786213</v>
      </c>
      <c r="R121" s="11">
        <f t="shared" si="31"/>
        <v>-746.14078520147427</v>
      </c>
      <c r="S121" s="11">
        <f t="shared" si="32"/>
        <v>-1824.7157084552859</v>
      </c>
      <c r="T121" s="11">
        <f t="shared" si="20"/>
        <v>-73.211517841495379</v>
      </c>
    </row>
    <row r="122" spans="1:20">
      <c r="A122">
        <v>112</v>
      </c>
      <c r="B122" s="12">
        <f t="shared" si="18"/>
        <v>3819.3223637236229</v>
      </c>
      <c r="C122" s="12">
        <f t="shared" si="33"/>
        <v>2151.609271450237</v>
      </c>
      <c r="D122" s="12">
        <f t="shared" si="34"/>
        <v>1667.7130922733859</v>
      </c>
      <c r="E122" s="12">
        <f t="shared" si="35"/>
        <v>643815.06834279769</v>
      </c>
      <c r="F122" s="12">
        <f t="shared" si="21"/>
        <v>1203033.164067301</v>
      </c>
      <c r="G122" s="12">
        <f t="shared" si="22"/>
        <v>559218.09572450328</v>
      </c>
      <c r="H122" s="12">
        <f t="shared" si="23"/>
        <v>-555.19980521705884</v>
      </c>
      <c r="I122" s="12">
        <f t="shared" si="24"/>
        <v>-2706.8090766672958</v>
      </c>
      <c r="J122" s="12">
        <f t="shared" si="19"/>
        <v>-601.50103954951965</v>
      </c>
      <c r="K122" s="12"/>
      <c r="L122" s="11">
        <f t="shared" si="25"/>
        <v>1909.6611818618114</v>
      </c>
      <c r="M122" s="11">
        <f t="shared" si="26"/>
        <v>1075.8046357251185</v>
      </c>
      <c r="N122" s="11">
        <f t="shared" si="27"/>
        <v>833.85654613669294</v>
      </c>
      <c r="O122" s="11">
        <f t="shared" si="28"/>
        <v>321907.53417139885</v>
      </c>
      <c r="P122" s="11">
        <f t="shared" si="29"/>
        <v>601516.58203365048</v>
      </c>
      <c r="Q122" s="11">
        <f t="shared" si="30"/>
        <v>279609.04786225164</v>
      </c>
      <c r="R122" s="11">
        <f t="shared" si="31"/>
        <v>-747.38435317681012</v>
      </c>
      <c r="S122" s="11">
        <f t="shared" si="32"/>
        <v>-1823.1889889019285</v>
      </c>
      <c r="T122" s="11">
        <f t="shared" si="20"/>
        <v>-68.76562463711457</v>
      </c>
    </row>
    <row r="123" spans="1:20">
      <c r="A123">
        <v>113</v>
      </c>
      <c r="B123" s="12">
        <f t="shared" si="18"/>
        <v>3819.3223637236229</v>
      </c>
      <c r="C123" s="12">
        <f t="shared" si="33"/>
        <v>2146.0502278093259</v>
      </c>
      <c r="D123" s="12">
        <f t="shared" si="34"/>
        <v>1673.272135914297</v>
      </c>
      <c r="E123" s="12">
        <f t="shared" si="35"/>
        <v>642141.79620688339</v>
      </c>
      <c r="F123" s="12">
        <f t="shared" si="21"/>
        <v>1205038.2193407465</v>
      </c>
      <c r="G123" s="12">
        <f t="shared" si="22"/>
        <v>562896.42313386314</v>
      </c>
      <c r="H123" s="12">
        <f t="shared" si="23"/>
        <v>-556.12513822575397</v>
      </c>
      <c r="I123" s="12">
        <f t="shared" si="24"/>
        <v>-2702.1753660350796</v>
      </c>
      <c r="J123" s="12">
        <f t="shared" si="19"/>
        <v>-593.358482188773</v>
      </c>
      <c r="K123" s="12"/>
      <c r="L123" s="11">
        <f t="shared" si="25"/>
        <v>1909.6611818618114</v>
      </c>
      <c r="M123" s="11">
        <f t="shared" si="26"/>
        <v>1073.0251139046629</v>
      </c>
      <c r="N123" s="11">
        <f t="shared" si="27"/>
        <v>836.6360679571485</v>
      </c>
      <c r="O123" s="11">
        <f t="shared" si="28"/>
        <v>321070.89810344169</v>
      </c>
      <c r="P123" s="11">
        <f t="shared" si="29"/>
        <v>602519.10967037326</v>
      </c>
      <c r="Q123" s="11">
        <f t="shared" si="30"/>
        <v>281448.21156693157</v>
      </c>
      <c r="R123" s="11">
        <f t="shared" si="31"/>
        <v>-748.62999376543814</v>
      </c>
      <c r="S123" s="11">
        <f t="shared" si="32"/>
        <v>-1821.6551076701012</v>
      </c>
      <c r="T123" s="11">
        <f t="shared" si="20"/>
        <v>-64.307704464845756</v>
      </c>
    </row>
    <row r="124" spans="1:20">
      <c r="A124">
        <v>114</v>
      </c>
      <c r="B124" s="12">
        <f t="shared" si="18"/>
        <v>3819.3223637236229</v>
      </c>
      <c r="C124" s="12">
        <f t="shared" si="33"/>
        <v>2140.4726540229444</v>
      </c>
      <c r="D124" s="12">
        <f t="shared" si="34"/>
        <v>1678.8497097006784</v>
      </c>
      <c r="E124" s="12">
        <f t="shared" si="35"/>
        <v>640462.94649718271</v>
      </c>
      <c r="F124" s="12">
        <f t="shared" si="21"/>
        <v>1207046.6163729811</v>
      </c>
      <c r="G124" s="12">
        <f t="shared" si="22"/>
        <v>566583.6698757984</v>
      </c>
      <c r="H124" s="12">
        <f t="shared" si="23"/>
        <v>-557.05201345613023</v>
      </c>
      <c r="I124" s="12">
        <f t="shared" si="24"/>
        <v>-2697.5246674790747</v>
      </c>
      <c r="J124" s="12">
        <f t="shared" si="19"/>
        <v>-585.19308882635778</v>
      </c>
      <c r="K124" s="12"/>
      <c r="L124" s="11">
        <f t="shared" si="25"/>
        <v>1909.6611818618114</v>
      </c>
      <c r="M124" s="11">
        <f t="shared" si="26"/>
        <v>1070.2363270114722</v>
      </c>
      <c r="N124" s="11">
        <f t="shared" si="27"/>
        <v>839.42485485033922</v>
      </c>
      <c r="O124" s="11">
        <f t="shared" si="28"/>
        <v>320231.47324859136</v>
      </c>
      <c r="P124" s="11">
        <f t="shared" si="29"/>
        <v>603523.30818649055</v>
      </c>
      <c r="Q124" s="11">
        <f t="shared" si="30"/>
        <v>283291.8349378992</v>
      </c>
      <c r="R124" s="11">
        <f t="shared" si="31"/>
        <v>-749.87771042171391</v>
      </c>
      <c r="S124" s="11">
        <f t="shared" si="32"/>
        <v>-1820.1140374331862</v>
      </c>
      <c r="T124" s="11">
        <f t="shared" si="20"/>
        <v>-59.837721889255363</v>
      </c>
    </row>
    <row r="125" spans="1:20">
      <c r="A125">
        <v>115</v>
      </c>
      <c r="B125" s="12">
        <f t="shared" si="18"/>
        <v>3819.3223637236229</v>
      </c>
      <c r="C125" s="12">
        <f t="shared" si="33"/>
        <v>2134.8764883239423</v>
      </c>
      <c r="D125" s="12">
        <f t="shared" si="34"/>
        <v>1684.4458753996805</v>
      </c>
      <c r="E125" s="12">
        <f t="shared" si="35"/>
        <v>638778.50062178308</v>
      </c>
      <c r="F125" s="12">
        <f t="shared" si="21"/>
        <v>1209058.3607336029</v>
      </c>
      <c r="G125" s="12">
        <f t="shared" si="22"/>
        <v>570279.86011181981</v>
      </c>
      <c r="H125" s="12">
        <f t="shared" si="23"/>
        <v>-557.98043347855707</v>
      </c>
      <c r="I125" s="12">
        <f t="shared" si="24"/>
        <v>-2692.8569218024995</v>
      </c>
      <c r="J125" s="12">
        <f t="shared" si="19"/>
        <v>-577.00479051869479</v>
      </c>
      <c r="K125" s="12"/>
      <c r="L125" s="11">
        <f t="shared" si="25"/>
        <v>1909.6611818618114</v>
      </c>
      <c r="M125" s="11">
        <f t="shared" si="26"/>
        <v>1067.4382441619712</v>
      </c>
      <c r="N125" s="11">
        <f t="shared" si="27"/>
        <v>842.22293769984026</v>
      </c>
      <c r="O125" s="11">
        <f t="shared" si="28"/>
        <v>319389.25031089154</v>
      </c>
      <c r="P125" s="11">
        <f t="shared" si="29"/>
        <v>604529.18036680145</v>
      </c>
      <c r="Q125" s="11">
        <f t="shared" si="30"/>
        <v>285139.93005590991</v>
      </c>
      <c r="R125" s="11">
        <f t="shared" si="31"/>
        <v>-751.12750660575011</v>
      </c>
      <c r="S125" s="11">
        <f t="shared" si="32"/>
        <v>-1818.5657507677213</v>
      </c>
      <c r="T125" s="11">
        <f t="shared" si="20"/>
        <v>-55.355641364550593</v>
      </c>
    </row>
    <row r="126" spans="1:20">
      <c r="A126">
        <v>116</v>
      </c>
      <c r="B126" s="12">
        <f t="shared" si="18"/>
        <v>3819.3223637236229</v>
      </c>
      <c r="C126" s="12">
        <f t="shared" si="33"/>
        <v>2129.261668739277</v>
      </c>
      <c r="D126" s="12">
        <f t="shared" si="34"/>
        <v>1690.0606949843459</v>
      </c>
      <c r="E126" s="12">
        <f t="shared" si="35"/>
        <v>637088.43992679869</v>
      </c>
      <c r="F126" s="12">
        <f t="shared" si="21"/>
        <v>1211073.4580014923</v>
      </c>
      <c r="G126" s="12">
        <f t="shared" si="22"/>
        <v>573985.01807469362</v>
      </c>
      <c r="H126" s="12">
        <f t="shared" si="23"/>
        <v>-558.91040086768805</v>
      </c>
      <c r="I126" s="12">
        <f t="shared" si="24"/>
        <v>-2688.1720696069651</v>
      </c>
      <c r="J126" s="12">
        <f t="shared" si="19"/>
        <v>-568.79351810435401</v>
      </c>
      <c r="K126" s="12"/>
      <c r="L126" s="11">
        <f t="shared" si="25"/>
        <v>1909.6611818618114</v>
      </c>
      <c r="M126" s="11">
        <f t="shared" si="26"/>
        <v>1064.6308343696385</v>
      </c>
      <c r="N126" s="11">
        <f t="shared" si="27"/>
        <v>845.03034749217295</v>
      </c>
      <c r="O126" s="11">
        <f t="shared" si="28"/>
        <v>318544.21996339934</v>
      </c>
      <c r="P126" s="11">
        <f t="shared" si="29"/>
        <v>605536.72900074616</v>
      </c>
      <c r="Q126" s="11">
        <f t="shared" si="30"/>
        <v>286992.50903734681</v>
      </c>
      <c r="R126" s="11">
        <f t="shared" si="31"/>
        <v>-752.37938578342641</v>
      </c>
      <c r="S126" s="11">
        <f t="shared" si="32"/>
        <v>-1817.0102201530649</v>
      </c>
      <c r="T126" s="11">
        <f t="shared" si="20"/>
        <v>-50.861427234221992</v>
      </c>
    </row>
    <row r="127" spans="1:20">
      <c r="A127">
        <v>117</v>
      </c>
      <c r="B127" s="12">
        <f t="shared" si="18"/>
        <v>3819.3223637236229</v>
      </c>
      <c r="C127" s="12">
        <f t="shared" si="33"/>
        <v>2123.6281330893289</v>
      </c>
      <c r="D127" s="12">
        <f t="shared" si="34"/>
        <v>1695.6942306342939</v>
      </c>
      <c r="E127" s="12">
        <f t="shared" si="35"/>
        <v>635392.74569616443</v>
      </c>
      <c r="F127" s="12">
        <f t="shared" si="21"/>
        <v>1213091.9137648281</v>
      </c>
      <c r="G127" s="12">
        <f t="shared" si="22"/>
        <v>577699.16806866368</v>
      </c>
      <c r="H127" s="12">
        <f t="shared" si="23"/>
        <v>-559.84191820246758</v>
      </c>
      <c r="I127" s="12">
        <f t="shared" si="24"/>
        <v>-2683.4700512917966</v>
      </c>
      <c r="J127" s="12">
        <f t="shared" si="19"/>
        <v>-560.55920220334792</v>
      </c>
      <c r="K127" s="12"/>
      <c r="L127" s="11">
        <f t="shared" si="25"/>
        <v>1909.6611818618114</v>
      </c>
      <c r="M127" s="11">
        <f t="shared" si="26"/>
        <v>1061.8140665446645</v>
      </c>
      <c r="N127" s="11">
        <f t="shared" si="27"/>
        <v>847.84711531714697</v>
      </c>
      <c r="O127" s="11">
        <f t="shared" si="28"/>
        <v>317696.37284808222</v>
      </c>
      <c r="P127" s="11">
        <f t="shared" si="29"/>
        <v>606545.95688241406</v>
      </c>
      <c r="Q127" s="11">
        <f t="shared" si="30"/>
        <v>288849.58403433184</v>
      </c>
      <c r="R127" s="11">
        <f t="shared" si="31"/>
        <v>-753.6333514263988</v>
      </c>
      <c r="S127" s="11">
        <f t="shared" si="32"/>
        <v>-1815.4474179710633</v>
      </c>
      <c r="T127" s="11">
        <f t="shared" si="20"/>
        <v>-46.355043730688976</v>
      </c>
    </row>
    <row r="128" spans="1:20">
      <c r="A128">
        <v>118</v>
      </c>
      <c r="B128" s="12">
        <f t="shared" si="18"/>
        <v>3819.3223637236229</v>
      </c>
      <c r="C128" s="12">
        <f t="shared" si="33"/>
        <v>2117.975818987215</v>
      </c>
      <c r="D128" s="12">
        <f t="shared" si="34"/>
        <v>1701.3465447364078</v>
      </c>
      <c r="E128" s="12">
        <f t="shared" si="35"/>
        <v>633691.39915142802</v>
      </c>
      <c r="F128" s="12">
        <f t="shared" si="21"/>
        <v>1215113.733621103</v>
      </c>
      <c r="G128" s="12">
        <f t="shared" si="22"/>
        <v>581422.33446967497</v>
      </c>
      <c r="H128" s="12">
        <f t="shared" si="23"/>
        <v>-560.77498806613835</v>
      </c>
      <c r="I128" s="12">
        <f t="shared" si="24"/>
        <v>-2678.7508070533531</v>
      </c>
      <c r="J128" s="12">
        <f t="shared" si="19"/>
        <v>-552.30177321642304</v>
      </c>
      <c r="K128" s="12"/>
      <c r="L128" s="11">
        <f t="shared" si="25"/>
        <v>1909.6611818618114</v>
      </c>
      <c r="M128" s="11">
        <f t="shared" si="26"/>
        <v>1058.9879094936075</v>
      </c>
      <c r="N128" s="11">
        <f t="shared" si="27"/>
        <v>850.67327236820392</v>
      </c>
      <c r="O128" s="11">
        <f t="shared" si="28"/>
        <v>316845.69957571401</v>
      </c>
      <c r="P128" s="11">
        <f t="shared" si="29"/>
        <v>607556.8668105515</v>
      </c>
      <c r="Q128" s="11">
        <f t="shared" si="30"/>
        <v>290711.16723483749</v>
      </c>
      <c r="R128" s="11">
        <f t="shared" si="31"/>
        <v>-754.88940701210947</v>
      </c>
      <c r="S128" s="11">
        <f t="shared" si="32"/>
        <v>-1813.8773165057169</v>
      </c>
      <c r="T128" s="11">
        <f t="shared" si="20"/>
        <v>-41.836454974941717</v>
      </c>
    </row>
    <row r="129" spans="1:20">
      <c r="A129">
        <v>119</v>
      </c>
      <c r="B129" s="12">
        <f t="shared" si="18"/>
        <v>3819.3223637236229</v>
      </c>
      <c r="C129" s="12">
        <f t="shared" si="33"/>
        <v>2112.3046638380933</v>
      </c>
      <c r="D129" s="12">
        <f t="shared" si="34"/>
        <v>1707.0176998855295</v>
      </c>
      <c r="E129" s="12">
        <f t="shared" si="35"/>
        <v>631984.38145154249</v>
      </c>
      <c r="F129" s="12">
        <f t="shared" si="21"/>
        <v>1217138.9231771382</v>
      </c>
      <c r="G129" s="12">
        <f t="shared" si="22"/>
        <v>585154.54172559571</v>
      </c>
      <c r="H129" s="12">
        <f t="shared" si="23"/>
        <v>-561.70961304624859</v>
      </c>
      <c r="I129" s="12">
        <f t="shared" si="24"/>
        <v>-2674.0142768843421</v>
      </c>
      <c r="J129" s="12">
        <f t="shared" si="19"/>
        <v>-544.02116132435049</v>
      </c>
      <c r="K129" s="12"/>
      <c r="L129" s="11">
        <f t="shared" si="25"/>
        <v>1909.6611818618114</v>
      </c>
      <c r="M129" s="11">
        <f t="shared" si="26"/>
        <v>1056.1523319190467</v>
      </c>
      <c r="N129" s="11">
        <f t="shared" si="27"/>
        <v>853.50884994276475</v>
      </c>
      <c r="O129" s="11">
        <f t="shared" si="28"/>
        <v>315992.19072577124</v>
      </c>
      <c r="P129" s="11">
        <f t="shared" si="29"/>
        <v>608569.4615885691</v>
      </c>
      <c r="Q129" s="11">
        <f t="shared" si="30"/>
        <v>292577.27086279786</v>
      </c>
      <c r="R129" s="11">
        <f t="shared" si="31"/>
        <v>-756.14755602379637</v>
      </c>
      <c r="S129" s="11">
        <f t="shared" si="32"/>
        <v>-1812.299887942843</v>
      </c>
      <c r="T129" s="11">
        <f t="shared" si="20"/>
        <v>-37.305624976183253</v>
      </c>
    </row>
    <row r="130" spans="1:20">
      <c r="A130">
        <v>120</v>
      </c>
      <c r="B130" s="12">
        <f t="shared" si="18"/>
        <v>3819.3223637236229</v>
      </c>
      <c r="C130" s="12">
        <f t="shared" si="33"/>
        <v>2106.6146048384749</v>
      </c>
      <c r="D130" s="12">
        <f t="shared" si="34"/>
        <v>1712.707758885148</v>
      </c>
      <c r="E130" s="12">
        <f t="shared" si="35"/>
        <v>630271.67369265738</v>
      </c>
      <c r="F130" s="12">
        <f t="shared" si="21"/>
        <v>1219167.4880491002</v>
      </c>
      <c r="G130" s="12">
        <f t="shared" si="22"/>
        <v>588895.81435644277</v>
      </c>
      <c r="H130" s="12">
        <f t="shared" si="23"/>
        <v>-562.64579573465903</v>
      </c>
      <c r="I130" s="12">
        <f t="shared" si="24"/>
        <v>-2669.2604005731337</v>
      </c>
      <c r="J130" s="12">
        <f t="shared" si="19"/>
        <v>-535.71729648720839</v>
      </c>
      <c r="K130" s="12"/>
      <c r="L130" s="11">
        <f t="shared" si="25"/>
        <v>1909.6611818618114</v>
      </c>
      <c r="M130" s="11">
        <f t="shared" si="26"/>
        <v>1053.3073024192374</v>
      </c>
      <c r="N130" s="11">
        <f t="shared" si="27"/>
        <v>856.353879442574</v>
      </c>
      <c r="O130" s="11">
        <f t="shared" si="28"/>
        <v>315135.83684632869</v>
      </c>
      <c r="P130" s="11">
        <f t="shared" si="29"/>
        <v>609583.74402455008</v>
      </c>
      <c r="Q130" s="11">
        <f t="shared" si="30"/>
        <v>294447.90717822139</v>
      </c>
      <c r="R130" s="11">
        <f t="shared" si="31"/>
        <v>-757.40780195050274</v>
      </c>
      <c r="S130" s="11">
        <f t="shared" si="32"/>
        <v>-1810.7151043697402</v>
      </c>
      <c r="T130" s="11">
        <f t="shared" si="20"/>
        <v>-32.762517631469109</v>
      </c>
    </row>
    <row r="131" spans="1:20">
      <c r="A131">
        <v>121</v>
      </c>
      <c r="B131" s="12">
        <f t="shared" si="18"/>
        <v>3819.3223637236229</v>
      </c>
      <c r="C131" s="12">
        <f t="shared" si="33"/>
        <v>2100.9055789755243</v>
      </c>
      <c r="D131" s="12">
        <f t="shared" si="34"/>
        <v>1718.4167847480985</v>
      </c>
      <c r="E131" s="12">
        <f t="shared" si="35"/>
        <v>628553.25690790929</v>
      </c>
      <c r="F131" s="12">
        <f t="shared" si="21"/>
        <v>1221199.4338625153</v>
      </c>
      <c r="G131" s="12">
        <f t="shared" si="22"/>
        <v>592646.17695460597</v>
      </c>
      <c r="H131" s="12">
        <f t="shared" si="23"/>
        <v>-563.58353872755015</v>
      </c>
      <c r="I131" s="12">
        <f t="shared" si="24"/>
        <v>-2664.4891177030745</v>
      </c>
      <c r="J131" s="12">
        <f t="shared" si="19"/>
        <v>-527.39010844367294</v>
      </c>
      <c r="K131" s="12"/>
      <c r="L131" s="11">
        <f t="shared" si="25"/>
        <v>1909.6611818618114</v>
      </c>
      <c r="M131" s="11">
        <f t="shared" si="26"/>
        <v>1050.4527894877622</v>
      </c>
      <c r="N131" s="11">
        <f t="shared" si="27"/>
        <v>859.20839237404925</v>
      </c>
      <c r="O131" s="11">
        <f t="shared" si="28"/>
        <v>314276.62845395465</v>
      </c>
      <c r="P131" s="11">
        <f t="shared" si="29"/>
        <v>610599.71693125763</v>
      </c>
      <c r="Q131" s="11">
        <f t="shared" si="30"/>
        <v>296323.08847730298</v>
      </c>
      <c r="R131" s="11">
        <f t="shared" si="31"/>
        <v>-758.67014828708693</v>
      </c>
      <c r="S131" s="11">
        <f t="shared" si="32"/>
        <v>-1809.1229377748491</v>
      </c>
      <c r="T131" s="11">
        <f t="shared" si="20"/>
        <v>-28.207096725347583</v>
      </c>
    </row>
    <row r="132" spans="1:20">
      <c r="A132">
        <v>122</v>
      </c>
      <c r="B132" s="12">
        <f t="shared" si="18"/>
        <v>3819.3223637236229</v>
      </c>
      <c r="C132" s="12">
        <f t="shared" si="33"/>
        <v>2095.1775230263643</v>
      </c>
      <c r="D132" s="12">
        <f t="shared" si="34"/>
        <v>1724.1448406972586</v>
      </c>
      <c r="E132" s="12">
        <f t="shared" si="35"/>
        <v>626829.112067212</v>
      </c>
      <c r="F132" s="12">
        <f t="shared" si="21"/>
        <v>1223234.7662522863</v>
      </c>
      <c r="G132" s="12">
        <f t="shared" si="22"/>
        <v>596405.65418507427</v>
      </c>
      <c r="H132" s="12">
        <f t="shared" si="23"/>
        <v>-564.52284462542946</v>
      </c>
      <c r="I132" s="12">
        <f t="shared" si="24"/>
        <v>-2659.7003676517938</v>
      </c>
      <c r="J132" s="12">
        <f t="shared" si="19"/>
        <v>-519.0395267102931</v>
      </c>
      <c r="K132" s="12"/>
      <c r="L132" s="11">
        <f t="shared" si="25"/>
        <v>1909.6611818618114</v>
      </c>
      <c r="M132" s="11">
        <f t="shared" si="26"/>
        <v>1047.5887615131821</v>
      </c>
      <c r="N132" s="11">
        <f t="shared" si="27"/>
        <v>862.07242034862929</v>
      </c>
      <c r="O132" s="11">
        <f t="shared" si="28"/>
        <v>313414.556033606</v>
      </c>
      <c r="P132" s="11">
        <f t="shared" si="29"/>
        <v>611617.38312614313</v>
      </c>
      <c r="Q132" s="11">
        <f t="shared" si="30"/>
        <v>298202.82709253713</v>
      </c>
      <c r="R132" s="11">
        <f t="shared" si="31"/>
        <v>-759.93459853423212</v>
      </c>
      <c r="S132" s="11">
        <f t="shared" si="32"/>
        <v>-1807.5233600474144</v>
      </c>
      <c r="T132" s="11">
        <f t="shared" si="20"/>
        <v>-23.639325929496863</v>
      </c>
    </row>
    <row r="133" spans="1:20">
      <c r="A133">
        <v>123</v>
      </c>
      <c r="B133" s="12">
        <f t="shared" si="18"/>
        <v>3819.3223637236229</v>
      </c>
      <c r="C133" s="12">
        <f t="shared" si="33"/>
        <v>2089.4303735573735</v>
      </c>
      <c r="D133" s="12">
        <f t="shared" si="34"/>
        <v>1729.8919901662493</v>
      </c>
      <c r="E133" s="12">
        <f t="shared" si="35"/>
        <v>625099.22007704573</v>
      </c>
      <c r="F133" s="12">
        <f t="shared" si="21"/>
        <v>1225273.4908627067</v>
      </c>
      <c r="G133" s="12">
        <f t="shared" si="22"/>
        <v>600174.27078566095</v>
      </c>
      <c r="H133" s="12">
        <f t="shared" si="23"/>
        <v>-565.46371603313855</v>
      </c>
      <c r="I133" s="12">
        <f t="shared" si="24"/>
        <v>-2654.8940895905121</v>
      </c>
      <c r="J133" s="12">
        <f t="shared" si="19"/>
        <v>-510.66548058077524</v>
      </c>
      <c r="K133" s="12"/>
      <c r="L133" s="11">
        <f t="shared" si="25"/>
        <v>1909.6611818618114</v>
      </c>
      <c r="M133" s="11">
        <f t="shared" si="26"/>
        <v>1044.7151867786868</v>
      </c>
      <c r="N133" s="11">
        <f t="shared" si="27"/>
        <v>864.94599508312467</v>
      </c>
      <c r="O133" s="11">
        <f t="shared" si="28"/>
        <v>312549.61003852286</v>
      </c>
      <c r="P133" s="11">
        <f t="shared" si="29"/>
        <v>612636.74543135334</v>
      </c>
      <c r="Q133" s="11">
        <f t="shared" si="30"/>
        <v>300087.13539283047</v>
      </c>
      <c r="R133" s="11">
        <f t="shared" si="31"/>
        <v>-761.20115619845592</v>
      </c>
      <c r="S133" s="11">
        <f t="shared" si="32"/>
        <v>-1805.9163429771427</v>
      </c>
      <c r="T133" s="11">
        <f t="shared" si="20"/>
        <v>-19.059168802362137</v>
      </c>
    </row>
    <row r="134" spans="1:20">
      <c r="A134">
        <v>124</v>
      </c>
      <c r="B134" s="12">
        <f t="shared" si="18"/>
        <v>3819.3223637236229</v>
      </c>
      <c r="C134" s="12">
        <f t="shared" si="33"/>
        <v>2083.6640669234857</v>
      </c>
      <c r="D134" s="12">
        <f t="shared" si="34"/>
        <v>1735.6582968001371</v>
      </c>
      <c r="E134" s="12">
        <f t="shared" si="35"/>
        <v>623363.56178024563</v>
      </c>
      <c r="F134" s="12">
        <f t="shared" si="21"/>
        <v>1227315.613347478</v>
      </c>
      <c r="G134" s="12">
        <f t="shared" si="22"/>
        <v>603952.05156723235</v>
      </c>
      <c r="H134" s="12">
        <f t="shared" si="23"/>
        <v>-566.40615555986051</v>
      </c>
      <c r="I134" s="12">
        <f t="shared" si="24"/>
        <v>-2650.0702224833462</v>
      </c>
      <c r="J134" s="12">
        <f t="shared" si="19"/>
        <v>-502.26789912525965</v>
      </c>
      <c r="K134" s="12"/>
      <c r="L134" s="11">
        <f t="shared" si="25"/>
        <v>1909.6611818618114</v>
      </c>
      <c r="M134" s="11">
        <f t="shared" si="26"/>
        <v>1041.8320334617429</v>
      </c>
      <c r="N134" s="11">
        <f t="shared" si="27"/>
        <v>867.82914840006856</v>
      </c>
      <c r="O134" s="11">
        <f t="shared" si="28"/>
        <v>311681.78089012281</v>
      </c>
      <c r="P134" s="11">
        <f t="shared" si="29"/>
        <v>613657.80667373899</v>
      </c>
      <c r="Q134" s="11">
        <f t="shared" si="30"/>
        <v>301976.02578361618</v>
      </c>
      <c r="R134" s="11">
        <f t="shared" si="31"/>
        <v>-762.46982479211999</v>
      </c>
      <c r="S134" s="11">
        <f t="shared" si="32"/>
        <v>-1804.301858253863</v>
      </c>
      <c r="T134" s="11">
        <f t="shared" si="20"/>
        <v>-14.466588788790887</v>
      </c>
    </row>
    <row r="135" spans="1:20">
      <c r="A135">
        <v>125</v>
      </c>
      <c r="B135" s="12">
        <f t="shared" si="18"/>
        <v>3819.3223637236229</v>
      </c>
      <c r="C135" s="12">
        <f t="shared" si="33"/>
        <v>2077.8785392674854</v>
      </c>
      <c r="D135" s="12">
        <f t="shared" si="34"/>
        <v>1741.4438244561375</v>
      </c>
      <c r="E135" s="12">
        <f t="shared" si="35"/>
        <v>621622.11795578944</v>
      </c>
      <c r="F135" s="12">
        <f t="shared" si="21"/>
        <v>1229361.1393697239</v>
      </c>
      <c r="G135" s="12">
        <f t="shared" si="22"/>
        <v>607739.02141393442</v>
      </c>
      <c r="H135" s="12">
        <f t="shared" si="23"/>
        <v>-567.35016581912691</v>
      </c>
      <c r="I135" s="12">
        <f t="shared" si="24"/>
        <v>-2645.2287050866125</v>
      </c>
      <c r="J135" s="12">
        <f t="shared" si="19"/>
        <v>-493.84671118959614</v>
      </c>
      <c r="K135" s="12"/>
      <c r="L135" s="11">
        <f t="shared" si="25"/>
        <v>1909.6611818618114</v>
      </c>
      <c r="M135" s="11">
        <f t="shared" si="26"/>
        <v>1038.9392696337427</v>
      </c>
      <c r="N135" s="11">
        <f t="shared" si="27"/>
        <v>870.72191222806873</v>
      </c>
      <c r="O135" s="11">
        <f t="shared" si="28"/>
        <v>310811.05897789472</v>
      </c>
      <c r="P135" s="11">
        <f t="shared" si="29"/>
        <v>614680.56968486193</v>
      </c>
      <c r="Q135" s="11">
        <f t="shared" si="30"/>
        <v>303869.51070696721</v>
      </c>
      <c r="R135" s="11">
        <f t="shared" si="31"/>
        <v>-763.74060783344021</v>
      </c>
      <c r="S135" s="11">
        <f t="shared" si="32"/>
        <v>-1802.6798774671829</v>
      </c>
      <c r="T135" s="11">
        <f t="shared" si="20"/>
        <v>-9.8615492196688592</v>
      </c>
    </row>
    <row r="136" spans="1:20">
      <c r="A136">
        <v>126</v>
      </c>
      <c r="B136" s="12">
        <f t="shared" si="18"/>
        <v>3819.3223637236229</v>
      </c>
      <c r="C136" s="12">
        <f t="shared" si="33"/>
        <v>2072.0737265192979</v>
      </c>
      <c r="D136" s="12">
        <f t="shared" si="34"/>
        <v>1747.248637204325</v>
      </c>
      <c r="E136" s="12">
        <f t="shared" si="35"/>
        <v>619874.86931858514</v>
      </c>
      <c r="F136" s="12">
        <f t="shared" si="21"/>
        <v>1231410.0746020067</v>
      </c>
      <c r="G136" s="12">
        <f t="shared" si="22"/>
        <v>611535.20528342156</v>
      </c>
      <c r="H136" s="12">
        <f t="shared" si="23"/>
        <v>-568.2957494288255</v>
      </c>
      <c r="I136" s="12">
        <f t="shared" si="24"/>
        <v>-2640.3694759481232</v>
      </c>
      <c r="J136" s="12">
        <f t="shared" si="19"/>
        <v>-485.40184539461188</v>
      </c>
      <c r="K136" s="12"/>
      <c r="L136" s="11">
        <f t="shared" si="25"/>
        <v>1909.6611818618114</v>
      </c>
      <c r="M136" s="11">
        <f t="shared" si="26"/>
        <v>1036.036863259649</v>
      </c>
      <c r="N136" s="11">
        <f t="shared" si="27"/>
        <v>873.62431860216248</v>
      </c>
      <c r="O136" s="11">
        <f t="shared" si="28"/>
        <v>309937.43465929257</v>
      </c>
      <c r="P136" s="11">
        <f t="shared" si="29"/>
        <v>615705.03730100335</v>
      </c>
      <c r="Q136" s="11">
        <f t="shared" si="30"/>
        <v>305767.60264171078</v>
      </c>
      <c r="R136" s="11">
        <f t="shared" si="31"/>
        <v>-765.01350884649594</v>
      </c>
      <c r="S136" s="11">
        <f t="shared" si="32"/>
        <v>-1801.050372106145</v>
      </c>
      <c r="T136" s="11">
        <f t="shared" si="20"/>
        <v>-5.2440133115519529</v>
      </c>
    </row>
    <row r="137" spans="1:20">
      <c r="A137">
        <v>127</v>
      </c>
      <c r="B137" s="12">
        <f t="shared" si="18"/>
        <v>3819.3223637236229</v>
      </c>
      <c r="C137" s="12">
        <f t="shared" si="33"/>
        <v>2066.2495643952839</v>
      </c>
      <c r="D137" s="12">
        <f t="shared" si="34"/>
        <v>1753.072799328339</v>
      </c>
      <c r="E137" s="12">
        <f t="shared" si="35"/>
        <v>618121.79651925678</v>
      </c>
      <c r="F137" s="12">
        <f t="shared" si="21"/>
        <v>1233462.4247263435</v>
      </c>
      <c r="G137" s="12">
        <f t="shared" si="22"/>
        <v>615340.6282070867</v>
      </c>
      <c r="H137" s="12">
        <f t="shared" si="23"/>
        <v>-569.24290901120685</v>
      </c>
      <c r="I137" s="12">
        <f t="shared" si="24"/>
        <v>-2635.4924734064907</v>
      </c>
      <c r="J137" s="12">
        <f t="shared" si="19"/>
        <v>-476.93323013538975</v>
      </c>
      <c r="K137" s="12"/>
      <c r="L137" s="11">
        <f t="shared" si="25"/>
        <v>1909.6611818618114</v>
      </c>
      <c r="M137" s="11">
        <f t="shared" si="26"/>
        <v>1033.1247821976419</v>
      </c>
      <c r="N137" s="11">
        <f t="shared" si="27"/>
        <v>876.53639966416949</v>
      </c>
      <c r="O137" s="11">
        <f t="shared" si="28"/>
        <v>309060.89825962839</v>
      </c>
      <c r="P137" s="11">
        <f t="shared" si="29"/>
        <v>616731.21236317174</v>
      </c>
      <c r="Q137" s="11">
        <f t="shared" si="30"/>
        <v>307670.31410354335</v>
      </c>
      <c r="R137" s="11">
        <f t="shared" si="31"/>
        <v>-766.28853136124008</v>
      </c>
      <c r="S137" s="11">
        <f t="shared" si="32"/>
        <v>-1799.413313558882</v>
      </c>
      <c r="T137" s="11">
        <f t="shared" si="20"/>
        <v>-0.61394416629764237</v>
      </c>
    </row>
    <row r="138" spans="1:20">
      <c r="A138">
        <v>128</v>
      </c>
      <c r="B138" s="12">
        <f t="shared" si="18"/>
        <v>3819.3223637236229</v>
      </c>
      <c r="C138" s="12">
        <f t="shared" si="33"/>
        <v>2060.4059883975228</v>
      </c>
      <c r="D138" s="12">
        <f t="shared" si="34"/>
        <v>1758.9163753261</v>
      </c>
      <c r="E138" s="12">
        <f t="shared" si="35"/>
        <v>616362.88014393067</v>
      </c>
      <c r="F138" s="12">
        <f t="shared" si="21"/>
        <v>1235518.1954342208</v>
      </c>
      <c r="G138" s="12">
        <f t="shared" si="22"/>
        <v>619155.31529029016</v>
      </c>
      <c r="H138" s="12">
        <f t="shared" si="23"/>
        <v>-570.19164719289222</v>
      </c>
      <c r="I138" s="12">
        <f t="shared" si="24"/>
        <v>-2630.5976355904149</v>
      </c>
      <c r="J138" s="12">
        <f t="shared" si="19"/>
        <v>-468.44079358052886</v>
      </c>
      <c r="K138" s="12"/>
      <c r="L138" s="11">
        <f t="shared" si="25"/>
        <v>1909.6611818618114</v>
      </c>
      <c r="M138" s="11">
        <f t="shared" si="26"/>
        <v>1030.2029941987614</v>
      </c>
      <c r="N138" s="11">
        <f t="shared" si="27"/>
        <v>879.45818766305001</v>
      </c>
      <c r="O138" s="11">
        <f t="shared" si="28"/>
        <v>308181.44007196533</v>
      </c>
      <c r="P138" s="11">
        <f t="shared" si="29"/>
        <v>617759.09771711042</v>
      </c>
      <c r="Q138" s="11">
        <f t="shared" si="30"/>
        <v>309577.65764514508</v>
      </c>
      <c r="R138" s="11">
        <f t="shared" si="31"/>
        <v>-767.5656789135088</v>
      </c>
      <c r="S138" s="11">
        <f t="shared" si="32"/>
        <v>-1797.7686731122703</v>
      </c>
      <c r="T138" s="11">
        <f t="shared" si="20"/>
        <v>4.0286952293017748</v>
      </c>
    </row>
    <row r="139" spans="1:20">
      <c r="A139">
        <v>129</v>
      </c>
      <c r="B139" s="12">
        <f t="shared" si="18"/>
        <v>3819.3223637236229</v>
      </c>
      <c r="C139" s="12">
        <f t="shared" si="33"/>
        <v>2054.5429338131021</v>
      </c>
      <c r="D139" s="12">
        <f t="shared" si="34"/>
        <v>1764.7794299105208</v>
      </c>
      <c r="E139" s="12">
        <f t="shared" si="35"/>
        <v>614598.1007140202</v>
      </c>
      <c r="F139" s="12">
        <f t="shared" si="21"/>
        <v>1237577.3924266112</v>
      </c>
      <c r="G139" s="12">
        <f t="shared" si="22"/>
        <v>622979.29171259096</v>
      </c>
      <c r="H139" s="12">
        <f t="shared" si="23"/>
        <v>-571.14196660488039</v>
      </c>
      <c r="I139" s="12">
        <f t="shared" si="24"/>
        <v>-2625.6849004179826</v>
      </c>
      <c r="J139" s="12">
        <f t="shared" si="19"/>
        <v>-459.92446367141338</v>
      </c>
      <c r="K139" s="12"/>
      <c r="L139" s="11">
        <f t="shared" si="25"/>
        <v>1909.6611818618114</v>
      </c>
      <c r="M139" s="11">
        <f t="shared" si="26"/>
        <v>1027.271466906551</v>
      </c>
      <c r="N139" s="11">
        <f t="shared" si="27"/>
        <v>882.38971495526039</v>
      </c>
      <c r="O139" s="11">
        <f t="shared" si="28"/>
        <v>307299.0503570101</v>
      </c>
      <c r="P139" s="11">
        <f t="shared" si="29"/>
        <v>618788.69621330558</v>
      </c>
      <c r="Q139" s="11">
        <f t="shared" si="30"/>
        <v>311489.64585629548</v>
      </c>
      <c r="R139" s="11">
        <f t="shared" si="31"/>
        <v>-768.84495504503138</v>
      </c>
      <c r="S139" s="11">
        <f t="shared" si="32"/>
        <v>-1796.1164219515824</v>
      </c>
      <c r="T139" s="11">
        <f t="shared" si="20"/>
        <v>8.6839420038920707</v>
      </c>
    </row>
    <row r="140" spans="1:20">
      <c r="A140">
        <v>130</v>
      </c>
      <c r="B140" s="12">
        <f t="shared" ref="B140:B203" si="36">$C$5*($A$2/12*(1+$A$2/12)^(12*30))/((1+$A$2/12)^(30*12)-1)</f>
        <v>3819.3223637236229</v>
      </c>
      <c r="C140" s="12">
        <f t="shared" si="33"/>
        <v>2048.6603357134009</v>
      </c>
      <c r="D140" s="12">
        <f t="shared" si="34"/>
        <v>1770.662028010222</v>
      </c>
      <c r="E140" s="12">
        <f t="shared" si="35"/>
        <v>612827.43868600996</v>
      </c>
      <c r="F140" s="12">
        <f t="shared" si="21"/>
        <v>1239640.0214139889</v>
      </c>
      <c r="G140" s="12">
        <f t="shared" si="22"/>
        <v>626812.58272797894</v>
      </c>
      <c r="H140" s="12">
        <f t="shared" si="23"/>
        <v>-572.09386988255517</v>
      </c>
      <c r="I140" s="12">
        <f t="shared" si="24"/>
        <v>-2620.7542055959561</v>
      </c>
      <c r="J140" s="12">
        <f t="shared" ref="J140:J203" si="37">F140*$H$5/12*(1-$C$2)+I140</f>
        <v>-451.3841681214758</v>
      </c>
      <c r="K140" s="12"/>
      <c r="L140" s="11">
        <f t="shared" si="25"/>
        <v>1909.6611818618114</v>
      </c>
      <c r="M140" s="11">
        <f t="shared" si="26"/>
        <v>1024.3301678567004</v>
      </c>
      <c r="N140" s="11">
        <f t="shared" si="27"/>
        <v>885.331014005111</v>
      </c>
      <c r="O140" s="11">
        <f t="shared" si="28"/>
        <v>306413.71934300498</v>
      </c>
      <c r="P140" s="11">
        <f t="shared" si="29"/>
        <v>619820.01070699445</v>
      </c>
      <c r="Q140" s="11">
        <f t="shared" si="30"/>
        <v>313406.29136398947</v>
      </c>
      <c r="R140" s="11">
        <f t="shared" si="31"/>
        <v>-770.1263633034398</v>
      </c>
      <c r="S140" s="11">
        <f t="shared" si="32"/>
        <v>-1794.4565311601402</v>
      </c>
      <c r="T140" s="11">
        <f t="shared" ref="T140:T203" si="38">P140*$H$6/12*(1-$C$2)+S140</f>
        <v>13.351833401926797</v>
      </c>
    </row>
    <row r="141" spans="1:20">
      <c r="A141">
        <v>131</v>
      </c>
      <c r="B141" s="12">
        <f t="shared" si="36"/>
        <v>3819.3223637236229</v>
      </c>
      <c r="C141" s="12">
        <f t="shared" si="33"/>
        <v>2042.7581289533666</v>
      </c>
      <c r="D141" s="12">
        <f t="shared" si="34"/>
        <v>1776.5642347702562</v>
      </c>
      <c r="E141" s="12">
        <f t="shared" si="35"/>
        <v>611050.87445123971</v>
      </c>
      <c r="F141" s="12">
        <f t="shared" ref="F141:F204" si="39">F140*(1+$D$5/12)</f>
        <v>1241706.0881163457</v>
      </c>
      <c r="G141" s="12">
        <f t="shared" ref="G141:G204" si="40">F141-E141</f>
        <v>630655.21366510598</v>
      </c>
      <c r="H141" s="12">
        <f t="shared" ref="H141:H204" si="41">H140*(1+$D$2/12)</f>
        <v>-573.04735966569274</v>
      </c>
      <c r="I141" s="12">
        <f t="shared" ref="I141:I204" si="42">0-C141+H141</f>
        <v>-2615.8054886190594</v>
      </c>
      <c r="J141" s="12">
        <f t="shared" si="37"/>
        <v>-442.81983441545435</v>
      </c>
      <c r="K141" s="12"/>
      <c r="L141" s="11">
        <f t="shared" ref="L141:L204" si="43">$C$6*($A$2/12*(1+$A$2/12)^(12*30))/((1+$A$2/12)^(30*12)-1)</f>
        <v>1909.6611818618114</v>
      </c>
      <c r="M141" s="11">
        <f t="shared" ref="M141:M204" si="44">O140*$A$2/12</f>
        <v>1021.3790644766833</v>
      </c>
      <c r="N141" s="11">
        <f t="shared" ref="N141:N204" si="45">L141-M141</f>
        <v>888.28211738512812</v>
      </c>
      <c r="O141" s="11">
        <f t="shared" ref="O141:O204" si="46">O140-N141</f>
        <v>305525.43722561985</v>
      </c>
      <c r="P141" s="11">
        <f t="shared" ref="P141:P204" si="47">P140*(1+$D$6/12)</f>
        <v>620853.04405817285</v>
      </c>
      <c r="Q141" s="11">
        <f t="shared" ref="Q141:Q204" si="48">P141-O141</f>
        <v>315327.60683255299</v>
      </c>
      <c r="R141" s="11">
        <f t="shared" ref="R141:R204" si="49">R140*(1+$D$2/12)</f>
        <v>-771.4099072422789</v>
      </c>
      <c r="S141" s="11">
        <f t="shared" ref="S141:S204" si="50">0-M141+R141</f>
        <v>-1792.7889717189623</v>
      </c>
      <c r="T141" s="11">
        <f t="shared" si="38"/>
        <v>18.032406784041996</v>
      </c>
    </row>
    <row r="142" spans="1:20">
      <c r="A142">
        <v>132</v>
      </c>
      <c r="B142" s="12">
        <f t="shared" si="36"/>
        <v>3819.3223637236229</v>
      </c>
      <c r="C142" s="12">
        <f t="shared" ref="C142:C205" si="51">E141*$A$2/12</f>
        <v>2036.8362481707991</v>
      </c>
      <c r="D142" s="12">
        <f t="shared" ref="D142:D205" si="52">B142-C142</f>
        <v>1782.4861155528238</v>
      </c>
      <c r="E142" s="12">
        <f t="shared" ref="E142:E205" si="53">E141-D142</f>
        <v>609268.38833568688</v>
      </c>
      <c r="F142" s="12">
        <f t="shared" si="39"/>
        <v>1243775.5982632064</v>
      </c>
      <c r="G142" s="12">
        <f t="shared" si="40"/>
        <v>634507.20992751955</v>
      </c>
      <c r="H142" s="12">
        <f t="shared" si="41"/>
        <v>-574.00243859846887</v>
      </c>
      <c r="I142" s="12">
        <f t="shared" si="42"/>
        <v>-2610.838686769268</v>
      </c>
      <c r="J142" s="12">
        <f t="shared" si="37"/>
        <v>-434.23138980865679</v>
      </c>
      <c r="K142" s="12"/>
      <c r="L142" s="11">
        <f t="shared" si="43"/>
        <v>1909.6611818618114</v>
      </c>
      <c r="M142" s="11">
        <f t="shared" si="44"/>
        <v>1018.4181240853995</v>
      </c>
      <c r="N142" s="11">
        <f t="shared" si="45"/>
        <v>891.24305777641189</v>
      </c>
      <c r="O142" s="11">
        <f t="shared" si="46"/>
        <v>304634.19416784344</v>
      </c>
      <c r="P142" s="11">
        <f t="shared" si="47"/>
        <v>621887.79913160321</v>
      </c>
      <c r="Q142" s="11">
        <f t="shared" si="48"/>
        <v>317253.60496375978</v>
      </c>
      <c r="R142" s="11">
        <f t="shared" si="49"/>
        <v>-772.69559042101605</v>
      </c>
      <c r="S142" s="11">
        <f t="shared" si="50"/>
        <v>-1791.1137145064156</v>
      </c>
      <c r="T142" s="11">
        <f t="shared" si="38"/>
        <v>22.725699627427048</v>
      </c>
    </row>
    <row r="143" spans="1:20">
      <c r="A143">
        <v>133</v>
      </c>
      <c r="B143" s="12">
        <f t="shared" si="36"/>
        <v>3819.3223637236229</v>
      </c>
      <c r="C143" s="12">
        <f t="shared" si="51"/>
        <v>2030.894627785623</v>
      </c>
      <c r="D143" s="12">
        <f t="shared" si="52"/>
        <v>1788.4277359379998</v>
      </c>
      <c r="E143" s="12">
        <f t="shared" si="53"/>
        <v>607479.96059974888</v>
      </c>
      <c r="F143" s="12">
        <f t="shared" si="39"/>
        <v>1245848.5575936451</v>
      </c>
      <c r="G143" s="12">
        <f t="shared" si="40"/>
        <v>638368.59699389618</v>
      </c>
      <c r="H143" s="12">
        <f t="shared" si="41"/>
        <v>-574.95910932946629</v>
      </c>
      <c r="I143" s="12">
        <f t="shared" si="42"/>
        <v>-2605.8537371150892</v>
      </c>
      <c r="J143" s="12">
        <f t="shared" si="37"/>
        <v>-425.61876132621046</v>
      </c>
      <c r="K143" s="12"/>
      <c r="L143" s="11">
        <f t="shared" si="43"/>
        <v>1909.6611818618114</v>
      </c>
      <c r="M143" s="11">
        <f t="shared" si="44"/>
        <v>1015.4473138928115</v>
      </c>
      <c r="N143" s="11">
        <f t="shared" si="45"/>
        <v>894.21386796899992</v>
      </c>
      <c r="O143" s="11">
        <f t="shared" si="46"/>
        <v>303739.98029987444</v>
      </c>
      <c r="P143" s="11">
        <f t="shared" si="47"/>
        <v>622924.27879682253</v>
      </c>
      <c r="Q143" s="11">
        <f t="shared" si="48"/>
        <v>319184.29849694809</v>
      </c>
      <c r="R143" s="11">
        <f t="shared" si="49"/>
        <v>-773.98341640505112</v>
      </c>
      <c r="S143" s="11">
        <f t="shared" si="50"/>
        <v>-1789.4307302978627</v>
      </c>
      <c r="T143" s="11">
        <f t="shared" si="38"/>
        <v>27.431749526202793</v>
      </c>
    </row>
    <row r="144" spans="1:20">
      <c r="A144">
        <v>134</v>
      </c>
      <c r="B144" s="12">
        <f t="shared" si="36"/>
        <v>3819.3223637236229</v>
      </c>
      <c r="C144" s="12">
        <f t="shared" si="51"/>
        <v>2024.9332019991632</v>
      </c>
      <c r="D144" s="12">
        <f t="shared" si="52"/>
        <v>1794.3891617244597</v>
      </c>
      <c r="E144" s="12">
        <f t="shared" si="53"/>
        <v>605685.5714380244</v>
      </c>
      <c r="F144" s="12">
        <f t="shared" si="39"/>
        <v>1247924.9718563012</v>
      </c>
      <c r="G144" s="12">
        <f t="shared" si="40"/>
        <v>642239.40041827678</v>
      </c>
      <c r="H144" s="12">
        <f t="shared" si="41"/>
        <v>-575.91737451168206</v>
      </c>
      <c r="I144" s="12">
        <f t="shared" si="42"/>
        <v>-2600.8505765108453</v>
      </c>
      <c r="J144" s="12">
        <f t="shared" si="37"/>
        <v>-416.9818757623184</v>
      </c>
      <c r="K144" s="12"/>
      <c r="L144" s="11">
        <f t="shared" si="43"/>
        <v>1909.6611818618114</v>
      </c>
      <c r="M144" s="11">
        <f t="shared" si="44"/>
        <v>1012.4666009995816</v>
      </c>
      <c r="N144" s="11">
        <f t="shared" si="45"/>
        <v>897.19458086222983</v>
      </c>
      <c r="O144" s="11">
        <f t="shared" si="46"/>
        <v>302842.7857190122</v>
      </c>
      <c r="P144" s="11">
        <f t="shared" si="47"/>
        <v>623962.48592815059</v>
      </c>
      <c r="Q144" s="11">
        <f t="shared" si="48"/>
        <v>321119.70020913839</v>
      </c>
      <c r="R144" s="11">
        <f t="shared" si="49"/>
        <v>-775.27338876572628</v>
      </c>
      <c r="S144" s="11">
        <f t="shared" si="50"/>
        <v>-1787.7399897653079</v>
      </c>
      <c r="T144" s="11">
        <f t="shared" si="38"/>
        <v>32.150594191798064</v>
      </c>
    </row>
    <row r="145" spans="1:20">
      <c r="A145">
        <v>135</v>
      </c>
      <c r="B145" s="12">
        <f t="shared" si="36"/>
        <v>3819.3223637236229</v>
      </c>
      <c r="C145" s="12">
        <f t="shared" si="51"/>
        <v>2018.9519047934148</v>
      </c>
      <c r="D145" s="12">
        <f t="shared" si="52"/>
        <v>1800.3704589302081</v>
      </c>
      <c r="E145" s="12">
        <f t="shared" si="53"/>
        <v>603885.20097909414</v>
      </c>
      <c r="F145" s="12">
        <f t="shared" si="39"/>
        <v>1250004.8468093951</v>
      </c>
      <c r="G145" s="12">
        <f t="shared" si="40"/>
        <v>646119.64583030099</v>
      </c>
      <c r="H145" s="12">
        <f t="shared" si="41"/>
        <v>-576.87723680253487</v>
      </c>
      <c r="I145" s="12">
        <f t="shared" si="42"/>
        <v>-2595.8291415959497</v>
      </c>
      <c r="J145" s="12">
        <f t="shared" si="37"/>
        <v>-408.32065967950848</v>
      </c>
      <c r="K145" s="12"/>
      <c r="L145" s="11">
        <f t="shared" si="43"/>
        <v>1909.6611818618114</v>
      </c>
      <c r="M145" s="11">
        <f t="shared" si="44"/>
        <v>1009.4759523967074</v>
      </c>
      <c r="N145" s="11">
        <f t="shared" si="45"/>
        <v>900.18522946510404</v>
      </c>
      <c r="O145" s="11">
        <f t="shared" si="46"/>
        <v>301942.60048954707</v>
      </c>
      <c r="P145" s="11">
        <f t="shared" si="47"/>
        <v>625002.42340469756</v>
      </c>
      <c r="Q145" s="11">
        <f t="shared" si="48"/>
        <v>323059.82291515049</v>
      </c>
      <c r="R145" s="11">
        <f t="shared" si="49"/>
        <v>-776.56551108033591</v>
      </c>
      <c r="S145" s="11">
        <f t="shared" si="50"/>
        <v>-1786.0414634770432</v>
      </c>
      <c r="T145" s="11">
        <f t="shared" si="38"/>
        <v>36.882271453324847</v>
      </c>
    </row>
    <row r="146" spans="1:20">
      <c r="A146">
        <v>136</v>
      </c>
      <c r="B146" s="12">
        <f t="shared" si="36"/>
        <v>3819.3223637236229</v>
      </c>
      <c r="C146" s="12">
        <f t="shared" si="51"/>
        <v>2012.9506699303138</v>
      </c>
      <c r="D146" s="12">
        <f t="shared" si="52"/>
        <v>1806.3716937933091</v>
      </c>
      <c r="E146" s="12">
        <f t="shared" si="53"/>
        <v>602078.8292853008</v>
      </c>
      <c r="F146" s="12">
        <f t="shared" si="39"/>
        <v>1252088.1882207443</v>
      </c>
      <c r="G146" s="12">
        <f t="shared" si="40"/>
        <v>650009.35893544345</v>
      </c>
      <c r="H146" s="12">
        <f t="shared" si="41"/>
        <v>-577.83869886387242</v>
      </c>
      <c r="I146" s="12">
        <f t="shared" si="42"/>
        <v>-2590.789368794186</v>
      </c>
      <c r="J146" s="12">
        <f t="shared" si="37"/>
        <v>-399.63503940788405</v>
      </c>
      <c r="K146" s="12"/>
      <c r="L146" s="11">
        <f t="shared" si="43"/>
        <v>1909.6611818618114</v>
      </c>
      <c r="M146" s="11">
        <f t="shared" si="44"/>
        <v>1006.4753349651569</v>
      </c>
      <c r="N146" s="11">
        <f t="shared" si="45"/>
        <v>903.18584689665454</v>
      </c>
      <c r="O146" s="11">
        <f t="shared" si="46"/>
        <v>301039.4146426504</v>
      </c>
      <c r="P146" s="11">
        <f t="shared" si="47"/>
        <v>626044.09411037213</v>
      </c>
      <c r="Q146" s="11">
        <f t="shared" si="48"/>
        <v>325004.67946772173</v>
      </c>
      <c r="R146" s="11">
        <f t="shared" si="49"/>
        <v>-777.85978693213644</v>
      </c>
      <c r="S146" s="11">
        <f t="shared" si="50"/>
        <v>-1784.3351218972934</v>
      </c>
      <c r="T146" s="11">
        <f t="shared" si="38"/>
        <v>41.626819257958687</v>
      </c>
    </row>
    <row r="147" spans="1:20">
      <c r="A147">
        <v>137</v>
      </c>
      <c r="B147" s="12">
        <f t="shared" si="36"/>
        <v>3819.3223637236229</v>
      </c>
      <c r="C147" s="12">
        <f t="shared" si="51"/>
        <v>2006.9294309510026</v>
      </c>
      <c r="D147" s="12">
        <f t="shared" si="52"/>
        <v>1812.3929327726203</v>
      </c>
      <c r="E147" s="12">
        <f t="shared" si="53"/>
        <v>600266.43635252817</v>
      </c>
      <c r="F147" s="12">
        <f t="shared" si="39"/>
        <v>1254175.0018677788</v>
      </c>
      <c r="G147" s="12">
        <f t="shared" si="40"/>
        <v>653908.56551525067</v>
      </c>
      <c r="H147" s="12">
        <f t="shared" si="41"/>
        <v>-578.80176336197894</v>
      </c>
      <c r="I147" s="12">
        <f t="shared" si="42"/>
        <v>-2585.7311943129816</v>
      </c>
      <c r="J147" s="12">
        <f t="shared" si="37"/>
        <v>-390.92494104436855</v>
      </c>
      <c r="K147" s="12"/>
      <c r="L147" s="11">
        <f t="shared" si="43"/>
        <v>1909.6611818618114</v>
      </c>
      <c r="M147" s="11">
        <f t="shared" si="44"/>
        <v>1003.4647154755013</v>
      </c>
      <c r="N147" s="11">
        <f t="shared" si="45"/>
        <v>906.19646638631014</v>
      </c>
      <c r="O147" s="11">
        <f t="shared" si="46"/>
        <v>300133.21817626408</v>
      </c>
      <c r="P147" s="11">
        <f t="shared" si="47"/>
        <v>627087.50093388942</v>
      </c>
      <c r="Q147" s="11">
        <f t="shared" si="48"/>
        <v>326954.28275762533</v>
      </c>
      <c r="R147" s="11">
        <f t="shared" si="49"/>
        <v>-779.15621991035675</v>
      </c>
      <c r="S147" s="11">
        <f t="shared" si="50"/>
        <v>-1782.620935385858</v>
      </c>
      <c r="T147" s="11">
        <f t="shared" si="38"/>
        <v>46.384275671319301</v>
      </c>
    </row>
    <row r="148" spans="1:20">
      <c r="A148">
        <v>138</v>
      </c>
      <c r="B148" s="12">
        <f t="shared" si="36"/>
        <v>3819.3223637236229</v>
      </c>
      <c r="C148" s="12">
        <f t="shared" si="51"/>
        <v>2000.8881211750941</v>
      </c>
      <c r="D148" s="12">
        <f t="shared" si="52"/>
        <v>1818.4342425485288</v>
      </c>
      <c r="E148" s="12">
        <f t="shared" si="53"/>
        <v>598448.00210997963</v>
      </c>
      <c r="F148" s="12">
        <f t="shared" si="39"/>
        <v>1256265.2935375585</v>
      </c>
      <c r="G148" s="12">
        <f t="shared" si="40"/>
        <v>657817.29142757889</v>
      </c>
      <c r="H148" s="12">
        <f t="shared" si="41"/>
        <v>-579.76643296758232</v>
      </c>
      <c r="I148" s="12">
        <f t="shared" si="42"/>
        <v>-2580.6545541426763</v>
      </c>
      <c r="J148" s="12">
        <f t="shared" si="37"/>
        <v>-382.19029045194884</v>
      </c>
      <c r="K148" s="12"/>
      <c r="L148" s="11">
        <f t="shared" si="43"/>
        <v>1909.6611818618114</v>
      </c>
      <c r="M148" s="11">
        <f t="shared" si="44"/>
        <v>1000.444060587547</v>
      </c>
      <c r="N148" s="11">
        <f t="shared" si="45"/>
        <v>909.2171212742644</v>
      </c>
      <c r="O148" s="11">
        <f t="shared" si="46"/>
        <v>299224.00105498981</v>
      </c>
      <c r="P148" s="11">
        <f t="shared" si="47"/>
        <v>628132.64676877926</v>
      </c>
      <c r="Q148" s="11">
        <f t="shared" si="48"/>
        <v>328908.64571378945</v>
      </c>
      <c r="R148" s="11">
        <f t="shared" si="49"/>
        <v>-780.45481361020734</v>
      </c>
      <c r="S148" s="11">
        <f t="shared" si="50"/>
        <v>-1780.8988741977544</v>
      </c>
      <c r="T148" s="11">
        <f t="shared" si="38"/>
        <v>51.154678877851893</v>
      </c>
    </row>
    <row r="149" spans="1:20">
      <c r="A149">
        <v>139</v>
      </c>
      <c r="B149" s="12">
        <f t="shared" si="36"/>
        <v>3819.3223637236229</v>
      </c>
      <c r="C149" s="12">
        <f t="shared" si="51"/>
        <v>1994.8266736999321</v>
      </c>
      <c r="D149" s="12">
        <f t="shared" si="52"/>
        <v>1824.4956900236907</v>
      </c>
      <c r="E149" s="12">
        <f t="shared" si="53"/>
        <v>596623.50641995599</v>
      </c>
      <c r="F149" s="12">
        <f t="shared" si="39"/>
        <v>1258359.0690267878</v>
      </c>
      <c r="G149" s="12">
        <f t="shared" si="40"/>
        <v>661735.56260683178</v>
      </c>
      <c r="H149" s="12">
        <f t="shared" si="41"/>
        <v>-580.73271035586163</v>
      </c>
      <c r="I149" s="12">
        <f t="shared" si="42"/>
        <v>-2575.559384055794</v>
      </c>
      <c r="J149" s="12">
        <f t="shared" si="37"/>
        <v>-373.43101325891575</v>
      </c>
      <c r="K149" s="12"/>
      <c r="L149" s="11">
        <f t="shared" si="43"/>
        <v>1909.6611818618114</v>
      </c>
      <c r="M149" s="11">
        <f t="shared" si="44"/>
        <v>997.41333684996607</v>
      </c>
      <c r="N149" s="11">
        <f t="shared" si="45"/>
        <v>912.24784501184536</v>
      </c>
      <c r="O149" s="11">
        <f t="shared" si="46"/>
        <v>298311.75320997799</v>
      </c>
      <c r="P149" s="11">
        <f t="shared" si="47"/>
        <v>629179.53451339388</v>
      </c>
      <c r="Q149" s="11">
        <f t="shared" si="48"/>
        <v>330867.78130341589</v>
      </c>
      <c r="R149" s="11">
        <f t="shared" si="49"/>
        <v>-781.75557163289102</v>
      </c>
      <c r="S149" s="11">
        <f t="shared" si="50"/>
        <v>-1779.1689084828572</v>
      </c>
      <c r="T149" s="11">
        <f t="shared" si="38"/>
        <v>55.938067181207998</v>
      </c>
    </row>
    <row r="150" spans="1:20">
      <c r="A150">
        <v>140</v>
      </c>
      <c r="B150" s="12">
        <f t="shared" si="36"/>
        <v>3819.3223637236229</v>
      </c>
      <c r="C150" s="12">
        <f t="shared" si="51"/>
        <v>1988.7450213998534</v>
      </c>
      <c r="D150" s="12">
        <f t="shared" si="52"/>
        <v>1830.5773423237695</v>
      </c>
      <c r="E150" s="12">
        <f t="shared" si="53"/>
        <v>594792.92907763226</v>
      </c>
      <c r="F150" s="12">
        <f t="shared" si="39"/>
        <v>1260456.3341418325</v>
      </c>
      <c r="G150" s="12">
        <f t="shared" si="40"/>
        <v>665663.40506420028</v>
      </c>
      <c r="H150" s="12">
        <f t="shared" si="41"/>
        <v>-581.70059820645474</v>
      </c>
      <c r="I150" s="12">
        <f t="shared" si="42"/>
        <v>-2570.4456196063084</v>
      </c>
      <c r="J150" s="12">
        <f t="shared" si="37"/>
        <v>-364.64703485810151</v>
      </c>
      <c r="K150" s="12"/>
      <c r="L150" s="11">
        <f t="shared" si="43"/>
        <v>1909.6611818618114</v>
      </c>
      <c r="M150" s="11">
        <f t="shared" si="44"/>
        <v>994.37251069992669</v>
      </c>
      <c r="N150" s="11">
        <f t="shared" si="45"/>
        <v>915.28867116188474</v>
      </c>
      <c r="O150" s="11">
        <f t="shared" si="46"/>
        <v>297396.46453881613</v>
      </c>
      <c r="P150" s="11">
        <f t="shared" si="47"/>
        <v>630228.16707091627</v>
      </c>
      <c r="Q150" s="11">
        <f t="shared" si="48"/>
        <v>332831.70253210014</v>
      </c>
      <c r="R150" s="11">
        <f t="shared" si="49"/>
        <v>-783.05849758561249</v>
      </c>
      <c r="S150" s="11">
        <f t="shared" si="50"/>
        <v>-1777.4310082855391</v>
      </c>
      <c r="T150" s="11">
        <f t="shared" si="38"/>
        <v>60.734479004633386</v>
      </c>
    </row>
    <row r="151" spans="1:20">
      <c r="A151">
        <v>141</v>
      </c>
      <c r="B151" s="12">
        <f t="shared" si="36"/>
        <v>3819.3223637236229</v>
      </c>
      <c r="C151" s="12">
        <f t="shared" si="51"/>
        <v>1982.6430969254409</v>
      </c>
      <c r="D151" s="12">
        <f t="shared" si="52"/>
        <v>1836.679266798182</v>
      </c>
      <c r="E151" s="12">
        <f t="shared" si="53"/>
        <v>592956.24981083407</v>
      </c>
      <c r="F151" s="12">
        <f t="shared" si="39"/>
        <v>1262557.0946987357</v>
      </c>
      <c r="G151" s="12">
        <f t="shared" si="40"/>
        <v>669600.84488790168</v>
      </c>
      <c r="H151" s="12">
        <f t="shared" si="41"/>
        <v>-582.6700992034655</v>
      </c>
      <c r="I151" s="12">
        <f t="shared" si="42"/>
        <v>-2565.3131961289064</v>
      </c>
      <c r="J151" s="12">
        <f t="shared" si="37"/>
        <v>-355.83828040611934</v>
      </c>
      <c r="K151" s="12"/>
      <c r="L151" s="11">
        <f t="shared" si="43"/>
        <v>1909.6611818618114</v>
      </c>
      <c r="M151" s="11">
        <f t="shared" si="44"/>
        <v>991.32154846272044</v>
      </c>
      <c r="N151" s="11">
        <f t="shared" si="45"/>
        <v>918.33963339909099</v>
      </c>
      <c r="O151" s="11">
        <f t="shared" si="46"/>
        <v>296478.12490541703</v>
      </c>
      <c r="P151" s="11">
        <f t="shared" si="47"/>
        <v>631278.54734936787</v>
      </c>
      <c r="Q151" s="11">
        <f t="shared" si="48"/>
        <v>334800.42244395084</v>
      </c>
      <c r="R151" s="11">
        <f t="shared" si="49"/>
        <v>-784.36359508158853</v>
      </c>
      <c r="S151" s="11">
        <f t="shared" si="50"/>
        <v>-1775.6851435443091</v>
      </c>
      <c r="T151" s="11">
        <f t="shared" si="38"/>
        <v>65.543952891347089</v>
      </c>
    </row>
    <row r="152" spans="1:20">
      <c r="A152">
        <v>142</v>
      </c>
      <c r="B152" s="12">
        <f t="shared" si="36"/>
        <v>3819.3223637236229</v>
      </c>
      <c r="C152" s="12">
        <f t="shared" si="51"/>
        <v>1976.5208327027804</v>
      </c>
      <c r="D152" s="12">
        <f t="shared" si="52"/>
        <v>1842.8015310208425</v>
      </c>
      <c r="E152" s="12">
        <f t="shared" si="53"/>
        <v>591113.44827981328</v>
      </c>
      <c r="F152" s="12">
        <f t="shared" si="39"/>
        <v>1264661.3565232337</v>
      </c>
      <c r="G152" s="12">
        <f t="shared" si="40"/>
        <v>673547.90824342042</v>
      </c>
      <c r="H152" s="12">
        <f t="shared" si="41"/>
        <v>-583.6412160354713</v>
      </c>
      <c r="I152" s="12">
        <f t="shared" si="42"/>
        <v>-2560.1620487382515</v>
      </c>
      <c r="J152" s="12">
        <f t="shared" si="37"/>
        <v>-347.00467482259319</v>
      </c>
      <c r="K152" s="12"/>
      <c r="L152" s="11">
        <f t="shared" si="43"/>
        <v>1909.6611818618114</v>
      </c>
      <c r="M152" s="11">
        <f t="shared" si="44"/>
        <v>988.26041635139018</v>
      </c>
      <c r="N152" s="11">
        <f t="shared" si="45"/>
        <v>921.40076551042125</v>
      </c>
      <c r="O152" s="11">
        <f t="shared" si="46"/>
        <v>295556.72413990664</v>
      </c>
      <c r="P152" s="11">
        <f t="shared" si="47"/>
        <v>632330.67826161685</v>
      </c>
      <c r="Q152" s="11">
        <f t="shared" si="48"/>
        <v>336773.95412171021</v>
      </c>
      <c r="R152" s="11">
        <f t="shared" si="49"/>
        <v>-785.67086774005793</v>
      </c>
      <c r="S152" s="11">
        <f t="shared" si="50"/>
        <v>-1773.9312840914481</v>
      </c>
      <c r="T152" s="11">
        <f t="shared" si="38"/>
        <v>70.366527504934083</v>
      </c>
    </row>
    <row r="153" spans="1:20">
      <c r="A153">
        <v>143</v>
      </c>
      <c r="B153" s="12">
        <f t="shared" si="36"/>
        <v>3819.3223637236229</v>
      </c>
      <c r="C153" s="12">
        <f t="shared" si="51"/>
        <v>1970.3781609327109</v>
      </c>
      <c r="D153" s="12">
        <f t="shared" si="52"/>
        <v>1848.944202790912</v>
      </c>
      <c r="E153" s="12">
        <f t="shared" si="53"/>
        <v>589264.50407702231</v>
      </c>
      <c r="F153" s="12">
        <f t="shared" si="39"/>
        <v>1266769.1254507725</v>
      </c>
      <c r="G153" s="12">
        <f t="shared" si="40"/>
        <v>677504.62137375015</v>
      </c>
      <c r="H153" s="12">
        <f t="shared" si="41"/>
        <v>-584.61395139553042</v>
      </c>
      <c r="I153" s="12">
        <f t="shared" si="42"/>
        <v>-2554.9921123282411</v>
      </c>
      <c r="J153" s="12">
        <f t="shared" si="37"/>
        <v>-338.14614278938961</v>
      </c>
      <c r="K153" s="12"/>
      <c r="L153" s="11">
        <f t="shared" si="43"/>
        <v>1909.6611818618114</v>
      </c>
      <c r="M153" s="11">
        <f t="shared" si="44"/>
        <v>985.18908046635545</v>
      </c>
      <c r="N153" s="11">
        <f t="shared" si="45"/>
        <v>924.47210139545598</v>
      </c>
      <c r="O153" s="11">
        <f t="shared" si="46"/>
        <v>294632.25203851116</v>
      </c>
      <c r="P153" s="11">
        <f t="shared" si="47"/>
        <v>633384.56272538623</v>
      </c>
      <c r="Q153" s="11">
        <f t="shared" si="48"/>
        <v>338752.31068687508</v>
      </c>
      <c r="R153" s="11">
        <f t="shared" si="49"/>
        <v>-786.98031918629135</v>
      </c>
      <c r="S153" s="11">
        <f t="shared" si="50"/>
        <v>-1772.1693996526469</v>
      </c>
      <c r="T153" s="11">
        <f t="shared" si="38"/>
        <v>75.202241629729542</v>
      </c>
    </row>
    <row r="154" spans="1:20">
      <c r="A154">
        <v>144</v>
      </c>
      <c r="B154" s="12">
        <f t="shared" si="36"/>
        <v>3819.3223637236229</v>
      </c>
      <c r="C154" s="12">
        <f t="shared" si="51"/>
        <v>1964.2150135900745</v>
      </c>
      <c r="D154" s="12">
        <f t="shared" si="52"/>
        <v>1855.1073501335484</v>
      </c>
      <c r="E154" s="12">
        <f t="shared" si="53"/>
        <v>587409.39672688872</v>
      </c>
      <c r="F154" s="12">
        <f t="shared" si="39"/>
        <v>1268880.4073265239</v>
      </c>
      <c r="G154" s="12">
        <f t="shared" si="40"/>
        <v>681471.01059963519</v>
      </c>
      <c r="H154" s="12">
        <f t="shared" si="41"/>
        <v>-585.5883079811897</v>
      </c>
      <c r="I154" s="12">
        <f t="shared" si="42"/>
        <v>-2549.803321571264</v>
      </c>
      <c r="J154" s="12">
        <f t="shared" si="37"/>
        <v>-329.26260874984746</v>
      </c>
      <c r="K154" s="12"/>
      <c r="L154" s="11">
        <f t="shared" si="43"/>
        <v>1909.6611818618114</v>
      </c>
      <c r="M154" s="11">
        <f t="shared" si="44"/>
        <v>982.10750679503724</v>
      </c>
      <c r="N154" s="11">
        <f t="shared" si="45"/>
        <v>927.55367506677419</v>
      </c>
      <c r="O154" s="11">
        <f t="shared" si="46"/>
        <v>293704.69836344436</v>
      </c>
      <c r="P154" s="11">
        <f t="shared" si="47"/>
        <v>634440.20366326196</v>
      </c>
      <c r="Q154" s="11">
        <f t="shared" si="48"/>
        <v>340735.5052998176</v>
      </c>
      <c r="R154" s="11">
        <f t="shared" si="49"/>
        <v>-788.29195305160192</v>
      </c>
      <c r="S154" s="11">
        <f t="shared" si="50"/>
        <v>-1770.3994598466393</v>
      </c>
      <c r="T154" s="11">
        <f t="shared" si="38"/>
        <v>80.051134171208105</v>
      </c>
    </row>
    <row r="155" spans="1:20">
      <c r="A155">
        <v>145</v>
      </c>
      <c r="B155" s="12">
        <f t="shared" si="36"/>
        <v>3819.3223637236229</v>
      </c>
      <c r="C155" s="12">
        <f t="shared" si="51"/>
        <v>1958.0313224229624</v>
      </c>
      <c r="D155" s="12">
        <f t="shared" si="52"/>
        <v>1861.2910413006605</v>
      </c>
      <c r="E155" s="12">
        <f t="shared" si="53"/>
        <v>585548.10568558809</v>
      </c>
      <c r="F155" s="12">
        <f t="shared" si="39"/>
        <v>1270995.2080054015</v>
      </c>
      <c r="G155" s="12">
        <f t="shared" si="40"/>
        <v>685447.10231981345</v>
      </c>
      <c r="H155" s="12">
        <f t="shared" si="41"/>
        <v>-586.56428849449173</v>
      </c>
      <c r="I155" s="12">
        <f t="shared" si="42"/>
        <v>-2544.595610917454</v>
      </c>
      <c r="J155" s="12">
        <f t="shared" si="37"/>
        <v>-320.35399690800159</v>
      </c>
      <c r="K155" s="12"/>
      <c r="L155" s="11">
        <f t="shared" si="43"/>
        <v>1909.6611818618114</v>
      </c>
      <c r="M155" s="11">
        <f t="shared" si="44"/>
        <v>979.01566121148119</v>
      </c>
      <c r="N155" s="11">
        <f t="shared" si="45"/>
        <v>930.64552065033024</v>
      </c>
      <c r="O155" s="11">
        <f t="shared" si="46"/>
        <v>292774.05284279404</v>
      </c>
      <c r="P155" s="11">
        <f t="shared" si="47"/>
        <v>635497.60400270077</v>
      </c>
      <c r="Q155" s="11">
        <f t="shared" si="48"/>
        <v>342723.55115990672</v>
      </c>
      <c r="R155" s="11">
        <f t="shared" si="49"/>
        <v>-789.60577297335465</v>
      </c>
      <c r="S155" s="11">
        <f t="shared" si="50"/>
        <v>-1768.6214341848358</v>
      </c>
      <c r="T155" s="11">
        <f t="shared" si="38"/>
        <v>84.913244156374731</v>
      </c>
    </row>
    <row r="156" spans="1:20">
      <c r="A156">
        <v>146</v>
      </c>
      <c r="B156" s="12">
        <f t="shared" si="36"/>
        <v>3819.3223637236229</v>
      </c>
      <c r="C156" s="12">
        <f t="shared" si="51"/>
        <v>1951.8270189519606</v>
      </c>
      <c r="D156" s="12">
        <f t="shared" si="52"/>
        <v>1867.4953447716623</v>
      </c>
      <c r="E156" s="12">
        <f t="shared" si="53"/>
        <v>583680.61034081643</v>
      </c>
      <c r="F156" s="12">
        <f t="shared" si="39"/>
        <v>1273113.5333520772</v>
      </c>
      <c r="G156" s="12">
        <f t="shared" si="40"/>
        <v>689432.92301126081</v>
      </c>
      <c r="H156" s="12">
        <f t="shared" si="41"/>
        <v>-587.54189564198259</v>
      </c>
      <c r="I156" s="12">
        <f t="shared" si="42"/>
        <v>-2539.3689145939434</v>
      </c>
      <c r="J156" s="12">
        <f t="shared" si="37"/>
        <v>-311.42023122780802</v>
      </c>
      <c r="K156" s="12"/>
      <c r="L156" s="11">
        <f t="shared" si="43"/>
        <v>1909.6611818618114</v>
      </c>
      <c r="M156" s="11">
        <f t="shared" si="44"/>
        <v>975.91350947598028</v>
      </c>
      <c r="N156" s="11">
        <f t="shared" si="45"/>
        <v>933.74767238583115</v>
      </c>
      <c r="O156" s="11">
        <f t="shared" si="46"/>
        <v>291840.30517040822</v>
      </c>
      <c r="P156" s="11">
        <f t="shared" si="47"/>
        <v>636556.76667603862</v>
      </c>
      <c r="Q156" s="11">
        <f t="shared" si="48"/>
        <v>344716.4615056304</v>
      </c>
      <c r="R156" s="11">
        <f t="shared" si="49"/>
        <v>-790.92178259497689</v>
      </c>
      <c r="S156" s="11">
        <f t="shared" si="50"/>
        <v>-1766.8352920709572</v>
      </c>
      <c r="T156" s="11">
        <f t="shared" si="38"/>
        <v>89.788610734155554</v>
      </c>
    </row>
    <row r="157" spans="1:20">
      <c r="A157">
        <v>147</v>
      </c>
      <c r="B157" s="12">
        <f t="shared" si="36"/>
        <v>3819.3223637236229</v>
      </c>
      <c r="C157" s="12">
        <f t="shared" si="51"/>
        <v>1945.6020344693882</v>
      </c>
      <c r="D157" s="12">
        <f t="shared" si="52"/>
        <v>1873.7203292542347</v>
      </c>
      <c r="E157" s="12">
        <f t="shared" si="53"/>
        <v>581806.89001156215</v>
      </c>
      <c r="F157" s="12">
        <f t="shared" si="39"/>
        <v>1275235.3892409974</v>
      </c>
      <c r="G157" s="12">
        <f t="shared" si="40"/>
        <v>693428.49922943523</v>
      </c>
      <c r="H157" s="12">
        <f t="shared" si="41"/>
        <v>-588.52113213471921</v>
      </c>
      <c r="I157" s="12">
        <f t="shared" si="42"/>
        <v>-2534.1231666041076</v>
      </c>
      <c r="J157" s="12">
        <f t="shared" si="37"/>
        <v>-302.46123543236263</v>
      </c>
      <c r="K157" s="12"/>
      <c r="L157" s="11">
        <f t="shared" si="43"/>
        <v>1909.6611818618114</v>
      </c>
      <c r="M157" s="11">
        <f t="shared" si="44"/>
        <v>972.80101723469409</v>
      </c>
      <c r="N157" s="11">
        <f t="shared" si="45"/>
        <v>936.86016462711734</v>
      </c>
      <c r="O157" s="11">
        <f t="shared" si="46"/>
        <v>290903.44500578108</v>
      </c>
      <c r="P157" s="11">
        <f t="shared" si="47"/>
        <v>637617.69462049869</v>
      </c>
      <c r="Q157" s="11">
        <f t="shared" si="48"/>
        <v>346714.24961471761</v>
      </c>
      <c r="R157" s="11">
        <f t="shared" si="49"/>
        <v>-792.2399855659686</v>
      </c>
      <c r="S157" s="11">
        <f t="shared" si="50"/>
        <v>-1765.0410028006627</v>
      </c>
      <c r="T157" s="11">
        <f t="shared" si="38"/>
        <v>94.677273175791925</v>
      </c>
    </row>
    <row r="158" spans="1:20">
      <c r="A158">
        <v>148</v>
      </c>
      <c r="B158" s="12">
        <f t="shared" si="36"/>
        <v>3819.3223637236229</v>
      </c>
      <c r="C158" s="12">
        <f t="shared" si="51"/>
        <v>1939.3563000385404</v>
      </c>
      <c r="D158" s="12">
        <f t="shared" si="52"/>
        <v>1879.9660636850824</v>
      </c>
      <c r="E158" s="12">
        <f t="shared" si="53"/>
        <v>579926.92394787702</v>
      </c>
      <c r="F158" s="12">
        <f t="shared" si="39"/>
        <v>1277360.7815563991</v>
      </c>
      <c r="G158" s="12">
        <f t="shared" si="40"/>
        <v>697433.85760852206</v>
      </c>
      <c r="H158" s="12">
        <f t="shared" si="41"/>
        <v>-589.50200068827712</v>
      </c>
      <c r="I158" s="12">
        <f t="shared" si="42"/>
        <v>-2528.8583007268176</v>
      </c>
      <c r="J158" s="12">
        <f t="shared" si="37"/>
        <v>-293.47693300311948</v>
      </c>
      <c r="K158" s="12"/>
      <c r="L158" s="11">
        <f t="shared" si="43"/>
        <v>1909.6611818618114</v>
      </c>
      <c r="M158" s="11">
        <f t="shared" si="44"/>
        <v>969.67815001927022</v>
      </c>
      <c r="N158" s="11">
        <f t="shared" si="45"/>
        <v>939.98303184254121</v>
      </c>
      <c r="O158" s="11">
        <f t="shared" si="46"/>
        <v>289963.46197393851</v>
      </c>
      <c r="P158" s="11">
        <f t="shared" si="47"/>
        <v>638680.39077819954</v>
      </c>
      <c r="Q158" s="11">
        <f t="shared" si="48"/>
        <v>348716.92880426103</v>
      </c>
      <c r="R158" s="11">
        <f t="shared" si="49"/>
        <v>-793.56038554191196</v>
      </c>
      <c r="S158" s="11">
        <f t="shared" si="50"/>
        <v>-1763.2385355611823</v>
      </c>
      <c r="T158" s="11">
        <f t="shared" si="38"/>
        <v>99.579270875233078</v>
      </c>
    </row>
    <row r="159" spans="1:20">
      <c r="A159">
        <v>149</v>
      </c>
      <c r="B159" s="12">
        <f t="shared" si="36"/>
        <v>3819.3223637236229</v>
      </c>
      <c r="C159" s="12">
        <f t="shared" si="51"/>
        <v>1933.0897464929233</v>
      </c>
      <c r="D159" s="12">
        <f t="shared" si="52"/>
        <v>1886.2326172306996</v>
      </c>
      <c r="E159" s="12">
        <f t="shared" si="53"/>
        <v>578040.69133064628</v>
      </c>
      <c r="F159" s="12">
        <f t="shared" si="39"/>
        <v>1279489.7161923265</v>
      </c>
      <c r="G159" s="12">
        <f t="shared" si="40"/>
        <v>701449.02486168023</v>
      </c>
      <c r="H159" s="12">
        <f t="shared" si="41"/>
        <v>-590.48450402275762</v>
      </c>
      <c r="I159" s="12">
        <f t="shared" si="42"/>
        <v>-2523.5742505156809</v>
      </c>
      <c r="J159" s="12">
        <f t="shared" si="37"/>
        <v>-284.46724717911002</v>
      </c>
      <c r="K159" s="12"/>
      <c r="L159" s="11">
        <f t="shared" si="43"/>
        <v>1909.6611818618114</v>
      </c>
      <c r="M159" s="11">
        <f t="shared" si="44"/>
        <v>966.54487324646163</v>
      </c>
      <c r="N159" s="11">
        <f t="shared" si="45"/>
        <v>943.11630861534979</v>
      </c>
      <c r="O159" s="11">
        <f t="shared" si="46"/>
        <v>289020.34566532314</v>
      </c>
      <c r="P159" s="11">
        <f t="shared" si="47"/>
        <v>639744.85809616325</v>
      </c>
      <c r="Q159" s="11">
        <f t="shared" si="48"/>
        <v>350724.51243084011</v>
      </c>
      <c r="R159" s="11">
        <f t="shared" si="49"/>
        <v>-794.88298618448187</v>
      </c>
      <c r="S159" s="11">
        <f t="shared" si="50"/>
        <v>-1761.4278594309435</v>
      </c>
      <c r="T159" s="11">
        <f t="shared" si="38"/>
        <v>104.49464334953245</v>
      </c>
    </row>
    <row r="160" spans="1:20">
      <c r="A160">
        <v>150</v>
      </c>
      <c r="B160" s="12">
        <f t="shared" si="36"/>
        <v>3819.3223637236229</v>
      </c>
      <c r="C160" s="12">
        <f t="shared" si="51"/>
        <v>1926.8023044354877</v>
      </c>
      <c r="D160" s="12">
        <f t="shared" si="52"/>
        <v>1892.5200592881351</v>
      </c>
      <c r="E160" s="12">
        <f t="shared" si="53"/>
        <v>576148.17127135815</v>
      </c>
      <c r="F160" s="12">
        <f t="shared" si="39"/>
        <v>1281622.199052647</v>
      </c>
      <c r="G160" s="12">
        <f t="shared" si="40"/>
        <v>705474.02778128884</v>
      </c>
      <c r="H160" s="12">
        <f t="shared" si="41"/>
        <v>-591.4686448627956</v>
      </c>
      <c r="I160" s="12">
        <f t="shared" si="42"/>
        <v>-2518.2709492982831</v>
      </c>
      <c r="J160" s="12">
        <f t="shared" si="37"/>
        <v>-275.43210095615086</v>
      </c>
      <c r="K160" s="12"/>
      <c r="L160" s="11">
        <f t="shared" si="43"/>
        <v>1909.6611818618114</v>
      </c>
      <c r="M160" s="11">
        <f t="shared" si="44"/>
        <v>963.40115221774386</v>
      </c>
      <c r="N160" s="11">
        <f t="shared" si="45"/>
        <v>946.26002964406757</v>
      </c>
      <c r="O160" s="11">
        <f t="shared" si="46"/>
        <v>288074.08563567908</v>
      </c>
      <c r="P160" s="11">
        <f t="shared" si="47"/>
        <v>640811.09952632349</v>
      </c>
      <c r="Q160" s="11">
        <f t="shared" si="48"/>
        <v>352737.01389064442</v>
      </c>
      <c r="R160" s="11">
        <f t="shared" si="49"/>
        <v>-796.20779116145604</v>
      </c>
      <c r="S160" s="11">
        <f t="shared" si="50"/>
        <v>-1759.6089433791999</v>
      </c>
      <c r="T160" s="11">
        <f t="shared" si="38"/>
        <v>109.42343023924377</v>
      </c>
    </row>
    <row r="161" spans="1:20">
      <c r="A161">
        <v>151</v>
      </c>
      <c r="B161" s="12">
        <f t="shared" si="36"/>
        <v>3819.3223637236229</v>
      </c>
      <c r="C161" s="12">
        <f t="shared" si="51"/>
        <v>1920.4939042378608</v>
      </c>
      <c r="D161" s="12">
        <f t="shared" si="52"/>
        <v>1898.8284594857621</v>
      </c>
      <c r="E161" s="12">
        <f t="shared" si="53"/>
        <v>574249.34281187237</v>
      </c>
      <c r="F161" s="12">
        <f t="shared" si="39"/>
        <v>1283758.2360510682</v>
      </c>
      <c r="G161" s="12">
        <f t="shared" si="40"/>
        <v>709508.89323919581</v>
      </c>
      <c r="H161" s="12">
        <f t="shared" si="41"/>
        <v>-592.45442593756695</v>
      </c>
      <c r="I161" s="12">
        <f t="shared" si="42"/>
        <v>-2512.9483301754276</v>
      </c>
      <c r="J161" s="12">
        <f t="shared" si="37"/>
        <v>-266.37141708605895</v>
      </c>
      <c r="K161" s="12"/>
      <c r="L161" s="11">
        <f t="shared" si="43"/>
        <v>1909.6611818618114</v>
      </c>
      <c r="M161" s="11">
        <f t="shared" si="44"/>
        <v>960.24695211893038</v>
      </c>
      <c r="N161" s="11">
        <f t="shared" si="45"/>
        <v>949.41422974288105</v>
      </c>
      <c r="O161" s="11">
        <f t="shared" si="46"/>
        <v>287124.67140593618</v>
      </c>
      <c r="P161" s="11">
        <f t="shared" si="47"/>
        <v>641879.11802553409</v>
      </c>
      <c r="Q161" s="11">
        <f t="shared" si="48"/>
        <v>354754.4466195979</v>
      </c>
      <c r="R161" s="11">
        <f t="shared" si="49"/>
        <v>-797.53480414672515</v>
      </c>
      <c r="S161" s="11">
        <f t="shared" si="50"/>
        <v>-1757.7817562656555</v>
      </c>
      <c r="T161" s="11">
        <f t="shared" si="38"/>
        <v>114.36567130881895</v>
      </c>
    </row>
    <row r="162" spans="1:20">
      <c r="A162">
        <v>152</v>
      </c>
      <c r="B162" s="12">
        <f t="shared" si="36"/>
        <v>3819.3223637236229</v>
      </c>
      <c r="C162" s="12">
        <f t="shared" si="51"/>
        <v>1914.1644760395745</v>
      </c>
      <c r="D162" s="12">
        <f t="shared" si="52"/>
        <v>1905.1578876840483</v>
      </c>
      <c r="E162" s="12">
        <f t="shared" si="53"/>
        <v>572344.1849241883</v>
      </c>
      <c r="F162" s="12">
        <f t="shared" si="39"/>
        <v>1285897.8331111534</v>
      </c>
      <c r="G162" s="12">
        <f t="shared" si="40"/>
        <v>713553.64818696515</v>
      </c>
      <c r="H162" s="12">
        <f t="shared" si="41"/>
        <v>-593.44184998079629</v>
      </c>
      <c r="I162" s="12">
        <f t="shared" si="42"/>
        <v>-2507.6063260203709</v>
      </c>
      <c r="J162" s="12">
        <f t="shared" si="37"/>
        <v>-257.28511807585255</v>
      </c>
      <c r="K162" s="12"/>
      <c r="L162" s="11">
        <f t="shared" si="43"/>
        <v>1909.6611818618114</v>
      </c>
      <c r="M162" s="11">
        <f t="shared" si="44"/>
        <v>957.08223801978727</v>
      </c>
      <c r="N162" s="11">
        <f t="shared" si="45"/>
        <v>952.57894384202416</v>
      </c>
      <c r="O162" s="11">
        <f t="shared" si="46"/>
        <v>286172.09246209415</v>
      </c>
      <c r="P162" s="11">
        <f t="shared" si="47"/>
        <v>642948.91655557672</v>
      </c>
      <c r="Q162" s="11">
        <f t="shared" si="48"/>
        <v>356776.82409348257</v>
      </c>
      <c r="R162" s="11">
        <f t="shared" si="49"/>
        <v>-798.86402882030302</v>
      </c>
      <c r="S162" s="11">
        <f t="shared" si="50"/>
        <v>-1755.9462668400902</v>
      </c>
      <c r="T162" s="11">
        <f t="shared" si="38"/>
        <v>119.32140644700848</v>
      </c>
    </row>
    <row r="163" spans="1:20">
      <c r="A163">
        <v>153</v>
      </c>
      <c r="B163" s="12">
        <f t="shared" si="36"/>
        <v>3819.3223637236229</v>
      </c>
      <c r="C163" s="12">
        <f t="shared" si="51"/>
        <v>1907.8139497472946</v>
      </c>
      <c r="D163" s="12">
        <f t="shared" si="52"/>
        <v>1911.5084139763283</v>
      </c>
      <c r="E163" s="12">
        <f t="shared" si="53"/>
        <v>570432.67651021201</v>
      </c>
      <c r="F163" s="12">
        <f t="shared" si="39"/>
        <v>1288040.9961663387</v>
      </c>
      <c r="G163" s="12">
        <f t="shared" si="40"/>
        <v>717608.31965612667</v>
      </c>
      <c r="H163" s="12">
        <f t="shared" si="41"/>
        <v>-594.43091973076434</v>
      </c>
      <c r="I163" s="12">
        <f t="shared" si="42"/>
        <v>-2502.2448694780587</v>
      </c>
      <c r="J163" s="12">
        <f t="shared" si="37"/>
        <v>-248.17312618696633</v>
      </c>
      <c r="K163" s="12"/>
      <c r="L163" s="11">
        <f t="shared" si="43"/>
        <v>1909.6611818618114</v>
      </c>
      <c r="M163" s="11">
        <f t="shared" si="44"/>
        <v>953.9069748736473</v>
      </c>
      <c r="N163" s="11">
        <f t="shared" si="45"/>
        <v>955.75420698816413</v>
      </c>
      <c r="O163" s="11">
        <f t="shared" si="46"/>
        <v>285216.33825510601</v>
      </c>
      <c r="P163" s="11">
        <f t="shared" si="47"/>
        <v>644020.49808316934</v>
      </c>
      <c r="Q163" s="11">
        <f t="shared" si="48"/>
        <v>358804.15982806333</v>
      </c>
      <c r="R163" s="11">
        <f t="shared" si="49"/>
        <v>-800.19546886833689</v>
      </c>
      <c r="S163" s="11">
        <f t="shared" si="50"/>
        <v>-1754.1024437419842</v>
      </c>
      <c r="T163" s="11">
        <f t="shared" si="38"/>
        <v>124.29067566725962</v>
      </c>
    </row>
    <row r="164" spans="1:20">
      <c r="A164">
        <v>154</v>
      </c>
      <c r="B164" s="12">
        <f t="shared" si="36"/>
        <v>3819.3223637236229</v>
      </c>
      <c r="C164" s="12">
        <f t="shared" si="51"/>
        <v>1901.4422550340403</v>
      </c>
      <c r="D164" s="12">
        <f t="shared" si="52"/>
        <v>1917.8801086895826</v>
      </c>
      <c r="E164" s="12">
        <f t="shared" si="53"/>
        <v>568514.79640152247</v>
      </c>
      <c r="F164" s="12">
        <f t="shared" si="39"/>
        <v>1290187.7311599492</v>
      </c>
      <c r="G164" s="12">
        <f t="shared" si="40"/>
        <v>721672.93475842674</v>
      </c>
      <c r="H164" s="12">
        <f t="shared" si="41"/>
        <v>-595.42163793031568</v>
      </c>
      <c r="I164" s="12">
        <f t="shared" si="42"/>
        <v>-2496.8638929643557</v>
      </c>
      <c r="J164" s="12">
        <f t="shared" si="37"/>
        <v>-239.03536343444466</v>
      </c>
      <c r="K164" s="12"/>
      <c r="L164" s="11">
        <f t="shared" si="43"/>
        <v>1909.6611818618114</v>
      </c>
      <c r="M164" s="11">
        <f t="shared" si="44"/>
        <v>950.72112751702014</v>
      </c>
      <c r="N164" s="11">
        <f t="shared" si="45"/>
        <v>958.94005434479129</v>
      </c>
      <c r="O164" s="11">
        <f t="shared" si="46"/>
        <v>284257.39820076124</v>
      </c>
      <c r="P164" s="11">
        <f t="shared" si="47"/>
        <v>645093.8655799746</v>
      </c>
      <c r="Q164" s="11">
        <f t="shared" si="48"/>
        <v>360836.46737921337</v>
      </c>
      <c r="R164" s="11">
        <f t="shared" si="49"/>
        <v>-801.52912798311752</v>
      </c>
      <c r="S164" s="11">
        <f t="shared" si="50"/>
        <v>-1752.2502555001377</v>
      </c>
      <c r="T164" s="11">
        <f t="shared" si="38"/>
        <v>129.27351910812149</v>
      </c>
    </row>
    <row r="165" spans="1:20">
      <c r="A165">
        <v>155</v>
      </c>
      <c r="B165" s="12">
        <f t="shared" si="36"/>
        <v>3819.3223637236229</v>
      </c>
      <c r="C165" s="12">
        <f t="shared" si="51"/>
        <v>1895.0493213384082</v>
      </c>
      <c r="D165" s="12">
        <f t="shared" si="52"/>
        <v>1924.2730423852147</v>
      </c>
      <c r="E165" s="12">
        <f t="shared" si="53"/>
        <v>566590.52335913724</v>
      </c>
      <c r="F165" s="12">
        <f t="shared" si="39"/>
        <v>1292338.0440452159</v>
      </c>
      <c r="G165" s="12">
        <f t="shared" si="40"/>
        <v>725747.5206860787</v>
      </c>
      <c r="H165" s="12">
        <f t="shared" si="41"/>
        <v>-596.41400732686623</v>
      </c>
      <c r="I165" s="12">
        <f t="shared" si="42"/>
        <v>-2491.4633286652743</v>
      </c>
      <c r="J165" s="12">
        <f t="shared" si="37"/>
        <v>-229.87175158614673</v>
      </c>
      <c r="K165" s="12"/>
      <c r="L165" s="11">
        <f t="shared" si="43"/>
        <v>1909.6611818618114</v>
      </c>
      <c r="M165" s="11">
        <f t="shared" si="44"/>
        <v>947.52466066920408</v>
      </c>
      <c r="N165" s="11">
        <f t="shared" si="45"/>
        <v>962.13652119260735</v>
      </c>
      <c r="O165" s="11">
        <f t="shared" si="46"/>
        <v>283295.26167956862</v>
      </c>
      <c r="P165" s="11">
        <f t="shared" si="47"/>
        <v>646169.02202260797</v>
      </c>
      <c r="Q165" s="11">
        <f t="shared" si="48"/>
        <v>362873.76034303935</v>
      </c>
      <c r="R165" s="11">
        <f t="shared" si="49"/>
        <v>-802.86500986308943</v>
      </c>
      <c r="S165" s="11">
        <f t="shared" si="50"/>
        <v>-1750.3896705322936</v>
      </c>
      <c r="T165" s="11">
        <f t="shared" si="38"/>
        <v>134.269977033646</v>
      </c>
    </row>
    <row r="166" spans="1:20">
      <c r="A166">
        <v>156</v>
      </c>
      <c r="B166" s="12">
        <f t="shared" si="36"/>
        <v>3819.3223637236229</v>
      </c>
      <c r="C166" s="12">
        <f t="shared" si="51"/>
        <v>1888.6350778637907</v>
      </c>
      <c r="D166" s="12">
        <f t="shared" si="52"/>
        <v>1930.6872858598322</v>
      </c>
      <c r="E166" s="12">
        <f t="shared" si="53"/>
        <v>564659.8360732774</v>
      </c>
      <c r="F166" s="12">
        <f t="shared" si="39"/>
        <v>1294491.9407852914</v>
      </c>
      <c r="G166" s="12">
        <f t="shared" si="40"/>
        <v>729832.10471201397</v>
      </c>
      <c r="H166" s="12">
        <f t="shared" si="41"/>
        <v>-597.40803067241097</v>
      </c>
      <c r="I166" s="12">
        <f t="shared" si="42"/>
        <v>-2486.0431085362015</v>
      </c>
      <c r="J166" s="12">
        <f t="shared" si="37"/>
        <v>-220.68221216194206</v>
      </c>
      <c r="K166" s="12"/>
      <c r="L166" s="11">
        <f t="shared" si="43"/>
        <v>1909.6611818618114</v>
      </c>
      <c r="M166" s="11">
        <f t="shared" si="44"/>
        <v>944.31753893189534</v>
      </c>
      <c r="N166" s="11">
        <f t="shared" si="45"/>
        <v>965.34364292991609</v>
      </c>
      <c r="O166" s="11">
        <f t="shared" si="46"/>
        <v>282329.9180366387</v>
      </c>
      <c r="P166" s="11">
        <f t="shared" si="47"/>
        <v>647245.97039264569</v>
      </c>
      <c r="Q166" s="11">
        <f t="shared" si="48"/>
        <v>364916.05235600699</v>
      </c>
      <c r="R166" s="11">
        <f t="shared" si="49"/>
        <v>-804.20311821286123</v>
      </c>
      <c r="S166" s="11">
        <f t="shared" si="50"/>
        <v>-1748.5206571447566</v>
      </c>
      <c r="T166" s="11">
        <f t="shared" si="38"/>
        <v>139.28008983379323</v>
      </c>
    </row>
    <row r="167" spans="1:20">
      <c r="A167">
        <v>157</v>
      </c>
      <c r="B167" s="12">
        <f t="shared" si="36"/>
        <v>3819.3223637236229</v>
      </c>
      <c r="C167" s="12">
        <f t="shared" si="51"/>
        <v>1882.1994535775914</v>
      </c>
      <c r="D167" s="12">
        <f t="shared" si="52"/>
        <v>1937.1229101460315</v>
      </c>
      <c r="E167" s="12">
        <f t="shared" si="53"/>
        <v>562722.71316313138</v>
      </c>
      <c r="F167" s="12">
        <f t="shared" si="39"/>
        <v>1296649.4273532669</v>
      </c>
      <c r="G167" s="12">
        <f t="shared" si="40"/>
        <v>733926.71419013548</v>
      </c>
      <c r="H167" s="12">
        <f t="shared" si="41"/>
        <v>-598.40371072353173</v>
      </c>
      <c r="I167" s="12">
        <f t="shared" si="42"/>
        <v>-2480.6031643011229</v>
      </c>
      <c r="J167" s="12">
        <f t="shared" si="37"/>
        <v>-211.46666643290609</v>
      </c>
      <c r="K167" s="12"/>
      <c r="L167" s="11">
        <f t="shared" si="43"/>
        <v>1909.6611818618114</v>
      </c>
      <c r="M167" s="11">
        <f t="shared" si="44"/>
        <v>941.09972678879569</v>
      </c>
      <c r="N167" s="11">
        <f t="shared" si="45"/>
        <v>968.56145507301574</v>
      </c>
      <c r="O167" s="11">
        <f t="shared" si="46"/>
        <v>281361.35658156569</v>
      </c>
      <c r="P167" s="11">
        <f t="shared" si="47"/>
        <v>648324.71367663343</v>
      </c>
      <c r="Q167" s="11">
        <f t="shared" si="48"/>
        <v>366963.35709506774</v>
      </c>
      <c r="R167" s="11">
        <f t="shared" si="49"/>
        <v>-805.54345674321598</v>
      </c>
      <c r="S167" s="11">
        <f t="shared" si="50"/>
        <v>-1746.6431835320118</v>
      </c>
      <c r="T167" s="11">
        <f t="shared" si="38"/>
        <v>144.30389802483569</v>
      </c>
    </row>
    <row r="168" spans="1:20">
      <c r="A168">
        <v>158</v>
      </c>
      <c r="B168" s="12">
        <f t="shared" si="36"/>
        <v>3819.3223637236229</v>
      </c>
      <c r="C168" s="12">
        <f t="shared" si="51"/>
        <v>1875.7423772104378</v>
      </c>
      <c r="D168" s="12">
        <f t="shared" si="52"/>
        <v>1943.5799865131851</v>
      </c>
      <c r="E168" s="12">
        <f t="shared" si="53"/>
        <v>560779.13317661814</v>
      </c>
      <c r="F168" s="12">
        <f t="shared" si="39"/>
        <v>1298810.5097321891</v>
      </c>
      <c r="G168" s="12">
        <f t="shared" si="40"/>
        <v>738031.37655557098</v>
      </c>
      <c r="H168" s="12">
        <f t="shared" si="41"/>
        <v>-599.40105024140428</v>
      </c>
      <c r="I168" s="12">
        <f t="shared" si="42"/>
        <v>-2475.1434274518419</v>
      </c>
      <c r="J168" s="12">
        <f t="shared" si="37"/>
        <v>-202.22503542051118</v>
      </c>
      <c r="K168" s="12"/>
      <c r="L168" s="11">
        <f t="shared" si="43"/>
        <v>1909.6611818618114</v>
      </c>
      <c r="M168" s="11">
        <f t="shared" si="44"/>
        <v>937.87118860521889</v>
      </c>
      <c r="N168" s="11">
        <f t="shared" si="45"/>
        <v>971.78999325659254</v>
      </c>
      <c r="O168" s="11">
        <f t="shared" si="46"/>
        <v>280389.56658830907</v>
      </c>
      <c r="P168" s="11">
        <f t="shared" si="47"/>
        <v>649405.25486609456</v>
      </c>
      <c r="Q168" s="11">
        <f t="shared" si="48"/>
        <v>369015.68827778549</v>
      </c>
      <c r="R168" s="11">
        <f t="shared" si="49"/>
        <v>-806.88602917112132</v>
      </c>
      <c r="S168" s="11">
        <f t="shared" si="50"/>
        <v>-1744.7572177763402</v>
      </c>
      <c r="T168" s="11">
        <f t="shared" si="38"/>
        <v>149.34144224976876</v>
      </c>
    </row>
    <row r="169" spans="1:20">
      <c r="A169">
        <v>159</v>
      </c>
      <c r="B169" s="12">
        <f t="shared" si="36"/>
        <v>3819.3223637236229</v>
      </c>
      <c r="C169" s="12">
        <f t="shared" si="51"/>
        <v>1869.2637772553937</v>
      </c>
      <c r="D169" s="12">
        <f t="shared" si="52"/>
        <v>1950.0585864682291</v>
      </c>
      <c r="E169" s="12">
        <f t="shared" si="53"/>
        <v>558829.07459014992</v>
      </c>
      <c r="F169" s="12">
        <f t="shared" si="39"/>
        <v>1300975.1939150761</v>
      </c>
      <c r="G169" s="12">
        <f t="shared" si="40"/>
        <v>742146.11932492617</v>
      </c>
      <c r="H169" s="12">
        <f t="shared" si="41"/>
        <v>-600.40005199180666</v>
      </c>
      <c r="I169" s="12">
        <f t="shared" si="42"/>
        <v>-2469.6638292472003</v>
      </c>
      <c r="J169" s="12">
        <f t="shared" si="37"/>
        <v>-192.95723989581757</v>
      </c>
      <c r="K169" s="12"/>
      <c r="L169" s="11">
        <f t="shared" si="43"/>
        <v>1909.6611818618114</v>
      </c>
      <c r="M169" s="11">
        <f t="shared" si="44"/>
        <v>934.63188862769687</v>
      </c>
      <c r="N169" s="11">
        <f t="shared" si="45"/>
        <v>975.02929323411456</v>
      </c>
      <c r="O169" s="11">
        <f t="shared" si="46"/>
        <v>279414.53729507496</v>
      </c>
      <c r="P169" s="11">
        <f t="shared" si="47"/>
        <v>650487.59695753804</v>
      </c>
      <c r="Q169" s="11">
        <f t="shared" si="48"/>
        <v>371073.05966246309</v>
      </c>
      <c r="R169" s="11">
        <f t="shared" si="49"/>
        <v>-808.23083921973989</v>
      </c>
      <c r="S169" s="11">
        <f t="shared" si="50"/>
        <v>-1742.8627278474369</v>
      </c>
      <c r="T169" s="11">
        <f t="shared" si="38"/>
        <v>154.39276327871562</v>
      </c>
    </row>
    <row r="170" spans="1:20">
      <c r="A170">
        <v>160</v>
      </c>
      <c r="B170" s="12">
        <f t="shared" si="36"/>
        <v>3819.3223637236229</v>
      </c>
      <c r="C170" s="12">
        <f t="shared" si="51"/>
        <v>1862.7635819671666</v>
      </c>
      <c r="D170" s="12">
        <f t="shared" si="52"/>
        <v>1956.5587817564563</v>
      </c>
      <c r="E170" s="12">
        <f t="shared" si="53"/>
        <v>556872.51580839348</v>
      </c>
      <c r="F170" s="12">
        <f t="shared" si="39"/>
        <v>1303143.4859049346</v>
      </c>
      <c r="G170" s="12">
        <f t="shared" si="40"/>
        <v>746270.9700965411</v>
      </c>
      <c r="H170" s="12">
        <f t="shared" si="41"/>
        <v>-601.40071874512637</v>
      </c>
      <c r="I170" s="12">
        <f t="shared" si="42"/>
        <v>-2464.164300712293</v>
      </c>
      <c r="J170" s="12">
        <f t="shared" si="37"/>
        <v>-183.66320037865762</v>
      </c>
      <c r="K170" s="12"/>
      <c r="L170" s="11">
        <f t="shared" si="43"/>
        <v>1909.6611818618114</v>
      </c>
      <c r="M170" s="11">
        <f t="shared" si="44"/>
        <v>931.3817909835833</v>
      </c>
      <c r="N170" s="11">
        <f t="shared" si="45"/>
        <v>978.27939087822813</v>
      </c>
      <c r="O170" s="11">
        <f t="shared" si="46"/>
        <v>278436.25790419674</v>
      </c>
      <c r="P170" s="11">
        <f t="shared" si="47"/>
        <v>651571.74295246729</v>
      </c>
      <c r="Q170" s="11">
        <f t="shared" si="48"/>
        <v>373135.48504827055</v>
      </c>
      <c r="R170" s="11">
        <f t="shared" si="49"/>
        <v>-809.57789061843948</v>
      </c>
      <c r="S170" s="11">
        <f t="shared" si="50"/>
        <v>-1740.9596816020228</v>
      </c>
      <c r="T170" s="11">
        <f t="shared" si="38"/>
        <v>159.45790200934016</v>
      </c>
    </row>
    <row r="171" spans="1:20">
      <c r="A171">
        <v>161</v>
      </c>
      <c r="B171" s="12">
        <f t="shared" si="36"/>
        <v>3819.3223637236229</v>
      </c>
      <c r="C171" s="12">
        <f t="shared" si="51"/>
        <v>1856.2417193613117</v>
      </c>
      <c r="D171" s="12">
        <f t="shared" si="52"/>
        <v>1963.0806443623112</v>
      </c>
      <c r="E171" s="12">
        <f t="shared" si="53"/>
        <v>554909.43516403122</v>
      </c>
      <c r="F171" s="12">
        <f t="shared" si="39"/>
        <v>1305315.3917147762</v>
      </c>
      <c r="G171" s="12">
        <f t="shared" si="40"/>
        <v>750405.95655074494</v>
      </c>
      <c r="H171" s="12">
        <f t="shared" si="41"/>
        <v>-602.40305327636827</v>
      </c>
      <c r="I171" s="12">
        <f t="shared" si="42"/>
        <v>-2458.64477263768</v>
      </c>
      <c r="J171" s="12">
        <f t="shared" si="37"/>
        <v>-174.3428371368218</v>
      </c>
      <c r="K171" s="12"/>
      <c r="L171" s="11">
        <f t="shared" si="43"/>
        <v>1909.6611818618114</v>
      </c>
      <c r="M171" s="11">
        <f t="shared" si="44"/>
        <v>928.12085968065583</v>
      </c>
      <c r="N171" s="11">
        <f t="shared" si="45"/>
        <v>981.5403221811556</v>
      </c>
      <c r="O171" s="11">
        <f t="shared" si="46"/>
        <v>277454.71758201561</v>
      </c>
      <c r="P171" s="11">
        <f t="shared" si="47"/>
        <v>652657.69585738808</v>
      </c>
      <c r="Q171" s="11">
        <f t="shared" si="48"/>
        <v>375202.97827537247</v>
      </c>
      <c r="R171" s="11">
        <f t="shared" si="49"/>
        <v>-810.9271871028036</v>
      </c>
      <c r="S171" s="11">
        <f t="shared" si="50"/>
        <v>-1739.0480467834595</v>
      </c>
      <c r="T171" s="11">
        <f t="shared" si="38"/>
        <v>164.53689946725581</v>
      </c>
    </row>
    <row r="172" spans="1:20">
      <c r="A172">
        <v>162</v>
      </c>
      <c r="B172" s="12">
        <f t="shared" si="36"/>
        <v>3819.3223637236229</v>
      </c>
      <c r="C172" s="12">
        <f t="shared" si="51"/>
        <v>1849.6981172134374</v>
      </c>
      <c r="D172" s="12">
        <f t="shared" si="52"/>
        <v>1969.6242465101855</v>
      </c>
      <c r="E172" s="12">
        <f t="shared" si="53"/>
        <v>552939.81091752101</v>
      </c>
      <c r="F172" s="12">
        <f t="shared" si="39"/>
        <v>1307490.9173676341</v>
      </c>
      <c r="G172" s="12">
        <f t="shared" si="40"/>
        <v>754551.10645011312</v>
      </c>
      <c r="H172" s="12">
        <f t="shared" si="41"/>
        <v>-603.40705836516224</v>
      </c>
      <c r="I172" s="12">
        <f t="shared" si="42"/>
        <v>-2453.1051755785998</v>
      </c>
      <c r="J172" s="12">
        <f t="shared" si="37"/>
        <v>-164.99607018524011</v>
      </c>
      <c r="K172" s="12"/>
      <c r="L172" s="11">
        <f t="shared" si="43"/>
        <v>1909.6611818618114</v>
      </c>
      <c r="M172" s="11">
        <f t="shared" si="44"/>
        <v>924.8490586067187</v>
      </c>
      <c r="N172" s="11">
        <f t="shared" si="45"/>
        <v>984.81212325509273</v>
      </c>
      <c r="O172" s="11">
        <f t="shared" si="46"/>
        <v>276469.90545876051</v>
      </c>
      <c r="P172" s="11">
        <f t="shared" si="47"/>
        <v>653745.45868381707</v>
      </c>
      <c r="Q172" s="11">
        <f t="shared" si="48"/>
        <v>377275.55322505656</v>
      </c>
      <c r="R172" s="11">
        <f t="shared" si="49"/>
        <v>-812.27873241464158</v>
      </c>
      <c r="S172" s="11">
        <f t="shared" si="50"/>
        <v>-1737.1277910213603</v>
      </c>
      <c r="T172" s="11">
        <f t="shared" si="38"/>
        <v>169.62979680643957</v>
      </c>
    </row>
    <row r="173" spans="1:20">
      <c r="A173">
        <v>163</v>
      </c>
      <c r="B173" s="12">
        <f t="shared" si="36"/>
        <v>3819.3223637236229</v>
      </c>
      <c r="C173" s="12">
        <f t="shared" si="51"/>
        <v>1843.1327030584034</v>
      </c>
      <c r="D173" s="12">
        <f t="shared" si="52"/>
        <v>1976.1896606652194</v>
      </c>
      <c r="E173" s="12">
        <f t="shared" si="53"/>
        <v>550963.62125685578</v>
      </c>
      <c r="F173" s="12">
        <f t="shared" si="39"/>
        <v>1309670.0688965803</v>
      </c>
      <c r="G173" s="12">
        <f t="shared" si="40"/>
        <v>758706.44763972447</v>
      </c>
      <c r="H173" s="12">
        <f t="shared" si="41"/>
        <v>-604.41273679577091</v>
      </c>
      <c r="I173" s="12">
        <f t="shared" si="42"/>
        <v>-2447.5454398541742</v>
      </c>
      <c r="J173" s="12">
        <f t="shared" si="37"/>
        <v>-155.62281928515904</v>
      </c>
      <c r="K173" s="12"/>
      <c r="L173" s="11">
        <f t="shared" si="43"/>
        <v>1909.6611818618114</v>
      </c>
      <c r="M173" s="11">
        <f t="shared" si="44"/>
        <v>921.56635152920171</v>
      </c>
      <c r="N173" s="11">
        <f t="shared" si="45"/>
        <v>988.09483033260972</v>
      </c>
      <c r="O173" s="11">
        <f t="shared" si="46"/>
        <v>275481.81062842789</v>
      </c>
      <c r="P173" s="11">
        <f t="shared" si="47"/>
        <v>654835.03444829013</v>
      </c>
      <c r="Q173" s="11">
        <f t="shared" si="48"/>
        <v>379353.22381986224</v>
      </c>
      <c r="R173" s="11">
        <f t="shared" si="49"/>
        <v>-813.6325303019994</v>
      </c>
      <c r="S173" s="11">
        <f t="shared" si="50"/>
        <v>-1735.1988818312011</v>
      </c>
      <c r="T173" s="11">
        <f t="shared" si="38"/>
        <v>174.73663530964518</v>
      </c>
    </row>
    <row r="174" spans="1:20">
      <c r="A174">
        <v>164</v>
      </c>
      <c r="B174" s="12">
        <f t="shared" si="36"/>
        <v>3819.3223637236229</v>
      </c>
      <c r="C174" s="12">
        <f t="shared" si="51"/>
        <v>1836.5454041895193</v>
      </c>
      <c r="D174" s="12">
        <f t="shared" si="52"/>
        <v>1982.7769595341035</v>
      </c>
      <c r="E174" s="12">
        <f t="shared" si="53"/>
        <v>548980.84429732163</v>
      </c>
      <c r="F174" s="12">
        <f t="shared" si="39"/>
        <v>1311852.8523447413</v>
      </c>
      <c r="G174" s="12">
        <f t="shared" si="40"/>
        <v>762872.00804741972</v>
      </c>
      <c r="H174" s="12">
        <f t="shared" si="41"/>
        <v>-605.42009135709725</v>
      </c>
      <c r="I174" s="12">
        <f t="shared" si="42"/>
        <v>-2441.9654955466167</v>
      </c>
      <c r="J174" s="12">
        <f t="shared" si="37"/>
        <v>-146.22300394331933</v>
      </c>
      <c r="K174" s="12"/>
      <c r="L174" s="11">
        <f t="shared" si="43"/>
        <v>1909.6611818618114</v>
      </c>
      <c r="M174" s="11">
        <f t="shared" si="44"/>
        <v>918.27270209475967</v>
      </c>
      <c r="N174" s="11">
        <f t="shared" si="45"/>
        <v>991.38847976705176</v>
      </c>
      <c r="O174" s="11">
        <f t="shared" si="46"/>
        <v>274490.42214866081</v>
      </c>
      <c r="P174" s="11">
        <f t="shared" si="47"/>
        <v>655926.42617237067</v>
      </c>
      <c r="Q174" s="11">
        <f t="shared" si="48"/>
        <v>381436.00402370986</v>
      </c>
      <c r="R174" s="11">
        <f t="shared" si="49"/>
        <v>-814.98858451916942</v>
      </c>
      <c r="S174" s="11">
        <f t="shared" si="50"/>
        <v>-1733.2612866139291</v>
      </c>
      <c r="T174" s="11">
        <f t="shared" si="38"/>
        <v>179.85745638881872</v>
      </c>
    </row>
    <row r="175" spans="1:20">
      <c r="A175">
        <v>165</v>
      </c>
      <c r="B175" s="12">
        <f t="shared" si="36"/>
        <v>3819.3223637236229</v>
      </c>
      <c r="C175" s="12">
        <f t="shared" si="51"/>
        <v>1829.9361476577387</v>
      </c>
      <c r="D175" s="12">
        <f t="shared" si="52"/>
        <v>1989.3862160658841</v>
      </c>
      <c r="E175" s="12">
        <f t="shared" si="53"/>
        <v>546991.45808125578</v>
      </c>
      <c r="F175" s="12">
        <f t="shared" si="39"/>
        <v>1314039.273765316</v>
      </c>
      <c r="G175" s="12">
        <f t="shared" si="40"/>
        <v>767047.81568406022</v>
      </c>
      <c r="H175" s="12">
        <f t="shared" si="41"/>
        <v>-606.42912484269243</v>
      </c>
      <c r="I175" s="12">
        <f t="shared" si="42"/>
        <v>-2436.3652725004313</v>
      </c>
      <c r="J175" s="12">
        <f t="shared" si="37"/>
        <v>-136.79654341112837</v>
      </c>
      <c r="K175" s="12"/>
      <c r="L175" s="11">
        <f t="shared" si="43"/>
        <v>1909.6611818618114</v>
      </c>
      <c r="M175" s="11">
        <f t="shared" si="44"/>
        <v>914.96807382886936</v>
      </c>
      <c r="N175" s="11">
        <f t="shared" si="45"/>
        <v>994.69310803294206</v>
      </c>
      <c r="O175" s="11">
        <f t="shared" si="46"/>
        <v>273495.72904062789</v>
      </c>
      <c r="P175" s="11">
        <f t="shared" si="47"/>
        <v>657019.636882658</v>
      </c>
      <c r="Q175" s="11">
        <f t="shared" si="48"/>
        <v>383523.90784203011</v>
      </c>
      <c r="R175" s="11">
        <f t="shared" si="49"/>
        <v>-816.34689882670136</v>
      </c>
      <c r="S175" s="11">
        <f t="shared" si="50"/>
        <v>-1731.3149726555707</v>
      </c>
      <c r="T175" s="11">
        <f t="shared" si="38"/>
        <v>184.99230158551518</v>
      </c>
    </row>
    <row r="176" spans="1:20">
      <c r="A176">
        <v>166</v>
      </c>
      <c r="B176" s="12">
        <f t="shared" si="36"/>
        <v>3819.3223637236229</v>
      </c>
      <c r="C176" s="12">
        <f t="shared" si="51"/>
        <v>1823.3048602708525</v>
      </c>
      <c r="D176" s="12">
        <f t="shared" si="52"/>
        <v>1996.0175034527704</v>
      </c>
      <c r="E176" s="12">
        <f t="shared" si="53"/>
        <v>544995.44057780306</v>
      </c>
      <c r="F176" s="12">
        <f t="shared" si="39"/>
        <v>1316229.3392215916</v>
      </c>
      <c r="G176" s="12">
        <f t="shared" si="40"/>
        <v>771233.89864378853</v>
      </c>
      <c r="H176" s="12">
        <f t="shared" si="41"/>
        <v>-607.43984005076356</v>
      </c>
      <c r="I176" s="12">
        <f t="shared" si="42"/>
        <v>-2430.7447003216162</v>
      </c>
      <c r="J176" s="12">
        <f t="shared" si="37"/>
        <v>-127.34335668383119</v>
      </c>
      <c r="K176" s="12"/>
      <c r="L176" s="11">
        <f t="shared" si="43"/>
        <v>1909.6611818618114</v>
      </c>
      <c r="M176" s="11">
        <f t="shared" si="44"/>
        <v>911.65243013542624</v>
      </c>
      <c r="N176" s="11">
        <f t="shared" si="45"/>
        <v>998.00875172638519</v>
      </c>
      <c r="O176" s="11">
        <f t="shared" si="46"/>
        <v>272497.72028890153</v>
      </c>
      <c r="P176" s="11">
        <f t="shared" si="47"/>
        <v>658114.6696107958</v>
      </c>
      <c r="Q176" s="11">
        <f t="shared" si="48"/>
        <v>385616.94932189427</v>
      </c>
      <c r="R176" s="11">
        <f t="shared" si="49"/>
        <v>-817.70747699141259</v>
      </c>
      <c r="S176" s="11">
        <f t="shared" si="50"/>
        <v>-1729.3599071268388</v>
      </c>
      <c r="T176" s="11">
        <f t="shared" si="38"/>
        <v>190.14121257131546</v>
      </c>
    </row>
    <row r="177" spans="1:20">
      <c r="A177">
        <v>167</v>
      </c>
      <c r="B177" s="12">
        <f t="shared" si="36"/>
        <v>3819.3223637236229</v>
      </c>
      <c r="C177" s="12">
        <f t="shared" si="51"/>
        <v>1816.6514685926768</v>
      </c>
      <c r="D177" s="12">
        <f t="shared" si="52"/>
        <v>2002.6708951309461</v>
      </c>
      <c r="E177" s="12">
        <f t="shared" si="53"/>
        <v>542992.76968267211</v>
      </c>
      <c r="F177" s="12">
        <f t="shared" si="39"/>
        <v>1318423.0547869611</v>
      </c>
      <c r="G177" s="12">
        <f t="shared" si="40"/>
        <v>775430.28510428895</v>
      </c>
      <c r="H177" s="12">
        <f t="shared" si="41"/>
        <v>-608.45223978418153</v>
      </c>
      <c r="I177" s="12">
        <f t="shared" si="42"/>
        <v>-2425.1037083768583</v>
      </c>
      <c r="J177" s="12">
        <f t="shared" si="37"/>
        <v>-117.8633624996769</v>
      </c>
      <c r="K177" s="12"/>
      <c r="L177" s="11">
        <f t="shared" si="43"/>
        <v>1909.6611818618114</v>
      </c>
      <c r="M177" s="11">
        <f t="shared" si="44"/>
        <v>908.3257342963384</v>
      </c>
      <c r="N177" s="11">
        <f t="shared" si="45"/>
        <v>1001.335447565473</v>
      </c>
      <c r="O177" s="11">
        <f t="shared" si="46"/>
        <v>271496.38484133605</v>
      </c>
      <c r="P177" s="11">
        <f t="shared" si="47"/>
        <v>659211.52739348053</v>
      </c>
      <c r="Q177" s="11">
        <f t="shared" si="48"/>
        <v>387715.14255214448</v>
      </c>
      <c r="R177" s="11">
        <f t="shared" si="49"/>
        <v>-819.07032278639826</v>
      </c>
      <c r="S177" s="11">
        <f t="shared" si="50"/>
        <v>-1727.3960570827367</v>
      </c>
      <c r="T177" s="11">
        <f t="shared" si="38"/>
        <v>195.30423114824794</v>
      </c>
    </row>
    <row r="178" spans="1:20">
      <c r="A178">
        <v>168</v>
      </c>
      <c r="B178" s="12">
        <f t="shared" si="36"/>
        <v>3819.3223637236229</v>
      </c>
      <c r="C178" s="12">
        <f t="shared" si="51"/>
        <v>1809.9758989422405</v>
      </c>
      <c r="D178" s="12">
        <f t="shared" si="52"/>
        <v>2009.3464647813823</v>
      </c>
      <c r="E178" s="12">
        <f t="shared" si="53"/>
        <v>540983.42321789067</v>
      </c>
      <c r="F178" s="12">
        <f t="shared" si="39"/>
        <v>1320620.4265449394</v>
      </c>
      <c r="G178" s="12">
        <f t="shared" si="40"/>
        <v>779637.00332704873</v>
      </c>
      <c r="H178" s="12">
        <f t="shared" si="41"/>
        <v>-609.46632685048849</v>
      </c>
      <c r="I178" s="12">
        <f t="shared" si="42"/>
        <v>-2419.442225792729</v>
      </c>
      <c r="J178" s="12">
        <f t="shared" si="37"/>
        <v>-108.35647933908558</v>
      </c>
      <c r="K178" s="12"/>
      <c r="L178" s="11">
        <f t="shared" si="43"/>
        <v>1909.6611818618114</v>
      </c>
      <c r="M178" s="11">
        <f t="shared" si="44"/>
        <v>904.98794947112026</v>
      </c>
      <c r="N178" s="11">
        <f t="shared" si="45"/>
        <v>1004.6732323906912</v>
      </c>
      <c r="O178" s="11">
        <f t="shared" si="46"/>
        <v>270491.71160894533</v>
      </c>
      <c r="P178" s="11">
        <f t="shared" si="47"/>
        <v>660310.2132724697</v>
      </c>
      <c r="Q178" s="11">
        <f t="shared" si="48"/>
        <v>389818.50166352437</v>
      </c>
      <c r="R178" s="11">
        <f t="shared" si="49"/>
        <v>-820.43543999104224</v>
      </c>
      <c r="S178" s="11">
        <f t="shared" si="50"/>
        <v>-1725.4233894621625</v>
      </c>
      <c r="T178" s="11">
        <f t="shared" si="38"/>
        <v>200.48139924920747</v>
      </c>
    </row>
    <row r="179" spans="1:20">
      <c r="A179">
        <v>169</v>
      </c>
      <c r="B179" s="12">
        <f t="shared" si="36"/>
        <v>3819.3223637236229</v>
      </c>
      <c r="C179" s="12">
        <f t="shared" si="51"/>
        <v>1803.278077392969</v>
      </c>
      <c r="D179" s="12">
        <f t="shared" si="52"/>
        <v>2016.0442863306539</v>
      </c>
      <c r="E179" s="12">
        <f t="shared" si="53"/>
        <v>538967.37893155997</v>
      </c>
      <c r="F179" s="12">
        <f t="shared" si="39"/>
        <v>1322821.4605891809</v>
      </c>
      <c r="G179" s="12">
        <f t="shared" si="40"/>
        <v>783854.08165762096</v>
      </c>
      <c r="H179" s="12">
        <f t="shared" si="41"/>
        <v>-610.48210406190594</v>
      </c>
      <c r="I179" s="12">
        <f t="shared" si="42"/>
        <v>-2413.7601814548748</v>
      </c>
      <c r="J179" s="12">
        <f t="shared" si="37"/>
        <v>-98.822625423808404</v>
      </c>
      <c r="K179" s="12"/>
      <c r="L179" s="11">
        <f t="shared" si="43"/>
        <v>1909.6611818618114</v>
      </c>
      <c r="M179" s="11">
        <f t="shared" si="44"/>
        <v>901.63903869648448</v>
      </c>
      <c r="N179" s="11">
        <f t="shared" si="45"/>
        <v>1008.022143165327</v>
      </c>
      <c r="O179" s="11">
        <f t="shared" si="46"/>
        <v>269483.68946577999</v>
      </c>
      <c r="P179" s="11">
        <f t="shared" si="47"/>
        <v>661410.73029459047</v>
      </c>
      <c r="Q179" s="11">
        <f t="shared" si="48"/>
        <v>391927.04082881048</v>
      </c>
      <c r="R179" s="11">
        <f t="shared" si="49"/>
        <v>-821.80283239102732</v>
      </c>
      <c r="S179" s="11">
        <f t="shared" si="50"/>
        <v>-1723.4418710875118</v>
      </c>
      <c r="T179" s="11">
        <f t="shared" si="38"/>
        <v>205.67275893837677</v>
      </c>
    </row>
    <row r="180" spans="1:20">
      <c r="A180">
        <v>170</v>
      </c>
      <c r="B180" s="12">
        <f t="shared" si="36"/>
        <v>3819.3223637236229</v>
      </c>
      <c r="C180" s="12">
        <f t="shared" si="51"/>
        <v>1796.5579297718666</v>
      </c>
      <c r="D180" s="12">
        <f t="shared" si="52"/>
        <v>2022.7644339517562</v>
      </c>
      <c r="E180" s="12">
        <f t="shared" si="53"/>
        <v>536944.61449760827</v>
      </c>
      <c r="F180" s="12">
        <f t="shared" si="39"/>
        <v>1325026.1630234963</v>
      </c>
      <c r="G180" s="12">
        <f t="shared" si="40"/>
        <v>788081.54852588801</v>
      </c>
      <c r="H180" s="12">
        <f t="shared" si="41"/>
        <v>-611.49957423534249</v>
      </c>
      <c r="I180" s="12">
        <f t="shared" si="42"/>
        <v>-2408.057504007209</v>
      </c>
      <c r="J180" s="12">
        <f t="shared" si="37"/>
        <v>-89.2617187160904</v>
      </c>
      <c r="K180" s="12"/>
      <c r="L180" s="11">
        <f t="shared" si="43"/>
        <v>1909.6611818618114</v>
      </c>
      <c r="M180" s="11">
        <f t="shared" si="44"/>
        <v>898.27896488593331</v>
      </c>
      <c r="N180" s="11">
        <f t="shared" si="45"/>
        <v>1011.3822169758781</v>
      </c>
      <c r="O180" s="11">
        <f t="shared" si="46"/>
        <v>268472.30724880414</v>
      </c>
      <c r="P180" s="11">
        <f t="shared" si="47"/>
        <v>662513.08151174814</v>
      </c>
      <c r="Q180" s="11">
        <f t="shared" si="48"/>
        <v>394040.774262944</v>
      </c>
      <c r="R180" s="11">
        <f t="shared" si="49"/>
        <v>-823.17250377834569</v>
      </c>
      <c r="S180" s="11">
        <f t="shared" si="50"/>
        <v>-1721.451468664279</v>
      </c>
      <c r="T180" s="11">
        <f t="shared" si="38"/>
        <v>210.87835241165294</v>
      </c>
    </row>
    <row r="181" spans="1:20">
      <c r="A181">
        <v>171</v>
      </c>
      <c r="B181" s="12">
        <f t="shared" si="36"/>
        <v>3819.3223637236229</v>
      </c>
      <c r="C181" s="12">
        <f t="shared" si="51"/>
        <v>1789.8153816586944</v>
      </c>
      <c r="D181" s="12">
        <f t="shared" si="52"/>
        <v>2029.5069820649285</v>
      </c>
      <c r="E181" s="12">
        <f t="shared" si="53"/>
        <v>534915.10751554335</v>
      </c>
      <c r="F181" s="12">
        <f t="shared" si="39"/>
        <v>1327234.5399618689</v>
      </c>
      <c r="G181" s="12">
        <f t="shared" si="40"/>
        <v>792319.43244632555</v>
      </c>
      <c r="H181" s="12">
        <f t="shared" si="41"/>
        <v>-612.51874019240142</v>
      </c>
      <c r="I181" s="12">
        <f t="shared" si="42"/>
        <v>-2402.3341218510959</v>
      </c>
      <c r="J181" s="12">
        <f t="shared" si="37"/>
        <v>-79.67367691782556</v>
      </c>
      <c r="K181" s="12"/>
      <c r="L181" s="11">
        <f t="shared" si="43"/>
        <v>1909.6611818618114</v>
      </c>
      <c r="M181" s="11">
        <f t="shared" si="44"/>
        <v>894.90769082934719</v>
      </c>
      <c r="N181" s="11">
        <f t="shared" si="45"/>
        <v>1014.7534910324642</v>
      </c>
      <c r="O181" s="11">
        <f t="shared" si="46"/>
        <v>267457.55375777168</v>
      </c>
      <c r="P181" s="11">
        <f t="shared" si="47"/>
        <v>663617.26998093445</v>
      </c>
      <c r="Q181" s="11">
        <f t="shared" si="48"/>
        <v>396159.71622316277</v>
      </c>
      <c r="R181" s="11">
        <f t="shared" si="49"/>
        <v>-824.5444579513096</v>
      </c>
      <c r="S181" s="11">
        <f t="shared" si="50"/>
        <v>-1719.4521487806569</v>
      </c>
      <c r="T181" s="11">
        <f t="shared" si="38"/>
        <v>216.09822199706855</v>
      </c>
    </row>
    <row r="182" spans="1:20">
      <c r="A182">
        <v>172</v>
      </c>
      <c r="B182" s="12">
        <f t="shared" si="36"/>
        <v>3819.3223637236229</v>
      </c>
      <c r="C182" s="12">
        <f t="shared" si="51"/>
        <v>1783.0503583851444</v>
      </c>
      <c r="D182" s="12">
        <f t="shared" si="52"/>
        <v>2036.2720053384785</v>
      </c>
      <c r="E182" s="12">
        <f t="shared" si="53"/>
        <v>532878.8355102049</v>
      </c>
      <c r="F182" s="12">
        <f t="shared" si="39"/>
        <v>1329446.5975284721</v>
      </c>
      <c r="G182" s="12">
        <f t="shared" si="40"/>
        <v>796567.76201826718</v>
      </c>
      <c r="H182" s="12">
        <f t="shared" si="41"/>
        <v>-613.53960475938879</v>
      </c>
      <c r="I182" s="12">
        <f t="shared" si="42"/>
        <v>-2396.5899631445332</v>
      </c>
      <c r="J182" s="12">
        <f t="shared" si="37"/>
        <v>-70.058417469707365</v>
      </c>
      <c r="K182" s="12"/>
      <c r="L182" s="11">
        <f t="shared" si="43"/>
        <v>1909.6611818618114</v>
      </c>
      <c r="M182" s="11">
        <f t="shared" si="44"/>
        <v>891.52517919257218</v>
      </c>
      <c r="N182" s="11">
        <f t="shared" si="45"/>
        <v>1018.1360026692392</v>
      </c>
      <c r="O182" s="11">
        <f t="shared" si="46"/>
        <v>266439.41775510245</v>
      </c>
      <c r="P182" s="11">
        <f t="shared" si="47"/>
        <v>664723.29876423604</v>
      </c>
      <c r="Q182" s="11">
        <f t="shared" si="48"/>
        <v>398283.88100913359</v>
      </c>
      <c r="R182" s="11">
        <f t="shared" si="49"/>
        <v>-825.91869871456186</v>
      </c>
      <c r="S182" s="11">
        <f t="shared" si="50"/>
        <v>-1717.443877907134</v>
      </c>
      <c r="T182" s="11">
        <f t="shared" si="38"/>
        <v>221.33241015522117</v>
      </c>
    </row>
    <row r="183" spans="1:20">
      <c r="A183">
        <v>173</v>
      </c>
      <c r="B183" s="12">
        <f t="shared" si="36"/>
        <v>3819.3223637236229</v>
      </c>
      <c r="C183" s="12">
        <f t="shared" si="51"/>
        <v>1776.2627850340161</v>
      </c>
      <c r="D183" s="12">
        <f t="shared" si="52"/>
        <v>2043.0595786896067</v>
      </c>
      <c r="E183" s="12">
        <f t="shared" si="53"/>
        <v>530835.77593151527</v>
      </c>
      <c r="F183" s="12">
        <f t="shared" si="39"/>
        <v>1331662.3418576862</v>
      </c>
      <c r="G183" s="12">
        <f t="shared" si="40"/>
        <v>800826.56592617091</v>
      </c>
      <c r="H183" s="12">
        <f t="shared" si="41"/>
        <v>-614.56217076732116</v>
      </c>
      <c r="I183" s="12">
        <f t="shared" si="42"/>
        <v>-2390.8249558013372</v>
      </c>
      <c r="J183" s="12">
        <f t="shared" si="37"/>
        <v>-60.41585755038659</v>
      </c>
      <c r="K183" s="12"/>
      <c r="L183" s="11">
        <f t="shared" si="43"/>
        <v>1909.6611818618114</v>
      </c>
      <c r="M183" s="11">
        <f t="shared" si="44"/>
        <v>888.13139251700807</v>
      </c>
      <c r="N183" s="11">
        <f t="shared" si="45"/>
        <v>1021.5297893448034</v>
      </c>
      <c r="O183" s="11">
        <f t="shared" si="46"/>
        <v>265417.88796575763</v>
      </c>
      <c r="P183" s="11">
        <f t="shared" si="47"/>
        <v>665831.17092884309</v>
      </c>
      <c r="Q183" s="11">
        <f t="shared" si="48"/>
        <v>400413.28296308545</v>
      </c>
      <c r="R183" s="11">
        <f t="shared" si="49"/>
        <v>-827.29522987908615</v>
      </c>
      <c r="S183" s="11">
        <f t="shared" si="50"/>
        <v>-1715.4266223960942</v>
      </c>
      <c r="T183" s="11">
        <f t="shared" si="38"/>
        <v>226.58095947969809</v>
      </c>
    </row>
    <row r="184" spans="1:20">
      <c r="A184">
        <v>174</v>
      </c>
      <c r="B184" s="12">
        <f t="shared" si="36"/>
        <v>3819.3223637236229</v>
      </c>
      <c r="C184" s="12">
        <f t="shared" si="51"/>
        <v>1769.4525864383843</v>
      </c>
      <c r="D184" s="12">
        <f t="shared" si="52"/>
        <v>2049.8697772852383</v>
      </c>
      <c r="E184" s="12">
        <f t="shared" si="53"/>
        <v>528785.90615423</v>
      </c>
      <c r="F184" s="12">
        <f t="shared" si="39"/>
        <v>1333881.7790941156</v>
      </c>
      <c r="G184" s="12">
        <f t="shared" si="40"/>
        <v>805095.87293988559</v>
      </c>
      <c r="H184" s="12">
        <f t="shared" si="41"/>
        <v>-615.58644105193343</v>
      </c>
      <c r="I184" s="12">
        <f t="shared" si="42"/>
        <v>-2385.0390274903175</v>
      </c>
      <c r="J184" s="12">
        <f t="shared" si="37"/>
        <v>-50.745914075615474</v>
      </c>
      <c r="K184" s="12"/>
      <c r="L184" s="11">
        <f t="shared" si="43"/>
        <v>1909.6611818618114</v>
      </c>
      <c r="M184" s="11">
        <f t="shared" si="44"/>
        <v>884.72629321919214</v>
      </c>
      <c r="N184" s="11">
        <f t="shared" si="45"/>
        <v>1024.9348886426192</v>
      </c>
      <c r="O184" s="11">
        <f t="shared" si="46"/>
        <v>264392.953077115</v>
      </c>
      <c r="P184" s="11">
        <f t="shared" si="47"/>
        <v>666940.8895470578</v>
      </c>
      <c r="Q184" s="11">
        <f t="shared" si="48"/>
        <v>402547.9364699428</v>
      </c>
      <c r="R184" s="11">
        <f t="shared" si="49"/>
        <v>-828.67405526221796</v>
      </c>
      <c r="S184" s="11">
        <f t="shared" si="50"/>
        <v>-1713.4003484814102</v>
      </c>
      <c r="T184" s="11">
        <f t="shared" si="38"/>
        <v>231.84391269750859</v>
      </c>
    </row>
    <row r="185" spans="1:20">
      <c r="A185">
        <v>175</v>
      </c>
      <c r="B185" s="12">
        <f t="shared" si="36"/>
        <v>3819.3223637236229</v>
      </c>
      <c r="C185" s="12">
        <f t="shared" si="51"/>
        <v>1762.6196871807667</v>
      </c>
      <c r="D185" s="12">
        <f t="shared" si="52"/>
        <v>2056.7026765428564</v>
      </c>
      <c r="E185" s="12">
        <f t="shared" si="53"/>
        <v>526729.2034776872</v>
      </c>
      <c r="F185" s="12">
        <f t="shared" si="39"/>
        <v>1336104.9153926058</v>
      </c>
      <c r="G185" s="12">
        <f t="shared" si="40"/>
        <v>809375.71191491862</v>
      </c>
      <c r="H185" s="12">
        <f t="shared" si="41"/>
        <v>-616.6124184536867</v>
      </c>
      <c r="I185" s="12">
        <f t="shared" si="42"/>
        <v>-2379.2321056344535</v>
      </c>
      <c r="J185" s="12">
        <f t="shared" si="37"/>
        <v>-41.048503697393699</v>
      </c>
      <c r="K185" s="12"/>
      <c r="L185" s="11">
        <f t="shared" si="43"/>
        <v>1909.6611818618114</v>
      </c>
      <c r="M185" s="11">
        <f t="shared" si="44"/>
        <v>881.30984359038337</v>
      </c>
      <c r="N185" s="11">
        <f t="shared" si="45"/>
        <v>1028.3513382714282</v>
      </c>
      <c r="O185" s="11">
        <f t="shared" si="46"/>
        <v>263364.6017388436</v>
      </c>
      <c r="P185" s="11">
        <f t="shared" si="47"/>
        <v>668052.45769630291</v>
      </c>
      <c r="Q185" s="11">
        <f t="shared" si="48"/>
        <v>404687.85595745931</v>
      </c>
      <c r="R185" s="11">
        <f t="shared" si="49"/>
        <v>-830.05517868765503</v>
      </c>
      <c r="S185" s="11">
        <f t="shared" si="50"/>
        <v>-1711.3650222780384</v>
      </c>
      <c r="T185" s="11">
        <f t="shared" si="38"/>
        <v>237.12131266951155</v>
      </c>
    </row>
    <row r="186" spans="1:20">
      <c r="A186">
        <v>176</v>
      </c>
      <c r="B186" s="12">
        <f t="shared" si="36"/>
        <v>3819.3223637236229</v>
      </c>
      <c r="C186" s="12">
        <f t="shared" si="51"/>
        <v>1755.7640115922907</v>
      </c>
      <c r="D186" s="12">
        <f t="shared" si="52"/>
        <v>2063.558352131332</v>
      </c>
      <c r="E186" s="12">
        <f t="shared" si="53"/>
        <v>524665.64512555592</v>
      </c>
      <c r="F186" s="12">
        <f t="shared" si="39"/>
        <v>1338331.7569182601</v>
      </c>
      <c r="G186" s="12">
        <f t="shared" si="40"/>
        <v>813666.11179270421</v>
      </c>
      <c r="H186" s="12">
        <f t="shared" si="41"/>
        <v>-617.6401058177762</v>
      </c>
      <c r="I186" s="12">
        <f t="shared" si="42"/>
        <v>-2373.4041174100666</v>
      </c>
      <c r="J186" s="12">
        <f t="shared" si="37"/>
        <v>-31.32354280311165</v>
      </c>
      <c r="K186" s="12"/>
      <c r="L186" s="11">
        <f t="shared" si="43"/>
        <v>1909.6611818618114</v>
      </c>
      <c r="M186" s="11">
        <f t="shared" si="44"/>
        <v>877.88200579614534</v>
      </c>
      <c r="N186" s="11">
        <f t="shared" si="45"/>
        <v>1031.779176065666</v>
      </c>
      <c r="O186" s="11">
        <f t="shared" si="46"/>
        <v>262332.82256277796</v>
      </c>
      <c r="P186" s="11">
        <f t="shared" si="47"/>
        <v>669165.87845913006</v>
      </c>
      <c r="Q186" s="11">
        <f t="shared" si="48"/>
        <v>406833.0558963521</v>
      </c>
      <c r="R186" s="11">
        <f t="shared" si="49"/>
        <v>-831.43860398546781</v>
      </c>
      <c r="S186" s="11">
        <f t="shared" si="50"/>
        <v>-1709.3206097816133</v>
      </c>
      <c r="T186" s="11">
        <f t="shared" si="38"/>
        <v>242.41320239084916</v>
      </c>
    </row>
    <row r="187" spans="1:20">
      <c r="A187">
        <v>177</v>
      </c>
      <c r="B187" s="12">
        <f t="shared" si="36"/>
        <v>3819.3223637236229</v>
      </c>
      <c r="C187" s="12">
        <f t="shared" si="51"/>
        <v>1748.8854837518531</v>
      </c>
      <c r="D187" s="12">
        <f t="shared" si="52"/>
        <v>2070.4368799717695</v>
      </c>
      <c r="E187" s="12">
        <f t="shared" si="53"/>
        <v>522595.20824558416</v>
      </c>
      <c r="F187" s="12">
        <f t="shared" si="39"/>
        <v>1340562.3098464573</v>
      </c>
      <c r="G187" s="12">
        <f t="shared" si="40"/>
        <v>817967.10160087317</v>
      </c>
      <c r="H187" s="12">
        <f t="shared" si="41"/>
        <v>-618.66950599413917</v>
      </c>
      <c r="I187" s="12">
        <f t="shared" si="42"/>
        <v>-2367.5549897459923</v>
      </c>
      <c r="J187" s="12">
        <f t="shared" si="37"/>
        <v>-21.570947514692307</v>
      </c>
      <c r="K187" s="12"/>
      <c r="L187" s="11">
        <f t="shared" si="43"/>
        <v>1909.6611818618114</v>
      </c>
      <c r="M187" s="11">
        <f t="shared" si="44"/>
        <v>874.44274187592657</v>
      </c>
      <c r="N187" s="11">
        <f t="shared" si="45"/>
        <v>1035.2184399858847</v>
      </c>
      <c r="O187" s="11">
        <f t="shared" si="46"/>
        <v>261297.60412279208</v>
      </c>
      <c r="P187" s="11">
        <f t="shared" si="47"/>
        <v>670281.15492322866</v>
      </c>
      <c r="Q187" s="11">
        <f t="shared" si="48"/>
        <v>408983.55080043658</v>
      </c>
      <c r="R187" s="11">
        <f t="shared" si="49"/>
        <v>-832.82433499211027</v>
      </c>
      <c r="S187" s="11">
        <f t="shared" si="50"/>
        <v>-1707.2670768680368</v>
      </c>
      <c r="T187" s="11">
        <f t="shared" si="38"/>
        <v>247.71962499138021</v>
      </c>
    </row>
    <row r="188" spans="1:20">
      <c r="A188">
        <v>178</v>
      </c>
      <c r="B188" s="12">
        <f t="shared" si="36"/>
        <v>3819.3223637236229</v>
      </c>
      <c r="C188" s="12">
        <f t="shared" si="51"/>
        <v>1741.9840274852804</v>
      </c>
      <c r="D188" s="12">
        <f t="shared" si="52"/>
        <v>2077.3383362383424</v>
      </c>
      <c r="E188" s="12">
        <f t="shared" si="53"/>
        <v>520517.86990934581</v>
      </c>
      <c r="F188" s="12">
        <f t="shared" si="39"/>
        <v>1342796.580362868</v>
      </c>
      <c r="G188" s="12">
        <f t="shared" si="40"/>
        <v>822278.71045352216</v>
      </c>
      <c r="H188" s="12">
        <f t="shared" si="41"/>
        <v>-619.70062183746279</v>
      </c>
      <c r="I188" s="12">
        <f t="shared" si="42"/>
        <v>-2361.6846493227431</v>
      </c>
      <c r="J188" s="12">
        <f t="shared" si="37"/>
        <v>-11.790633687724039</v>
      </c>
      <c r="K188" s="12"/>
      <c r="L188" s="11">
        <f t="shared" si="43"/>
        <v>1909.6611818618114</v>
      </c>
      <c r="M188" s="11">
        <f t="shared" si="44"/>
        <v>870.99201374264021</v>
      </c>
      <c r="N188" s="11">
        <f t="shared" si="45"/>
        <v>1038.6691681191712</v>
      </c>
      <c r="O188" s="11">
        <f t="shared" si="46"/>
        <v>260258.93495467291</v>
      </c>
      <c r="P188" s="11">
        <f t="shared" si="47"/>
        <v>671398.29018143401</v>
      </c>
      <c r="Q188" s="11">
        <f t="shared" si="48"/>
        <v>411139.35522676108</v>
      </c>
      <c r="R188" s="11">
        <f t="shared" si="49"/>
        <v>-834.21237555043047</v>
      </c>
      <c r="S188" s="11">
        <f t="shared" si="50"/>
        <v>-1705.2043892930706</v>
      </c>
      <c r="T188" s="11">
        <f t="shared" si="38"/>
        <v>253.04062373611191</v>
      </c>
    </row>
    <row r="189" spans="1:20">
      <c r="A189">
        <v>179</v>
      </c>
      <c r="B189" s="12">
        <f t="shared" si="36"/>
        <v>3819.3223637236229</v>
      </c>
      <c r="C189" s="12">
        <f t="shared" si="51"/>
        <v>1735.059566364486</v>
      </c>
      <c r="D189" s="12">
        <f t="shared" si="52"/>
        <v>2084.262797359137</v>
      </c>
      <c r="E189" s="12">
        <f t="shared" si="53"/>
        <v>518433.60711198667</v>
      </c>
      <c r="F189" s="12">
        <f t="shared" si="39"/>
        <v>1345034.5746634728</v>
      </c>
      <c r="G189" s="12">
        <f t="shared" si="40"/>
        <v>826600.9675514861</v>
      </c>
      <c r="H189" s="12">
        <f t="shared" si="41"/>
        <v>-620.73345620719192</v>
      </c>
      <c r="I189" s="12">
        <f t="shared" si="42"/>
        <v>-2355.7930225716782</v>
      </c>
      <c r="J189" s="12">
        <f t="shared" si="37"/>
        <v>-1.9825169106011344</v>
      </c>
      <c r="K189" s="12"/>
      <c r="L189" s="11">
        <f t="shared" si="43"/>
        <v>1909.6611818618114</v>
      </c>
      <c r="M189" s="11">
        <f t="shared" si="44"/>
        <v>867.52978318224302</v>
      </c>
      <c r="N189" s="11">
        <f t="shared" si="45"/>
        <v>1042.1313986795685</v>
      </c>
      <c r="O189" s="11">
        <f t="shared" si="46"/>
        <v>259216.80355599333</v>
      </c>
      <c r="P189" s="11">
        <f t="shared" si="47"/>
        <v>672517.28733173641</v>
      </c>
      <c r="Q189" s="11">
        <f t="shared" si="48"/>
        <v>413300.48377574305</v>
      </c>
      <c r="R189" s="11">
        <f t="shared" si="49"/>
        <v>-835.60272950968124</v>
      </c>
      <c r="S189" s="11">
        <f t="shared" si="50"/>
        <v>-1703.1325126919241</v>
      </c>
      <c r="T189" s="11">
        <f t="shared" si="38"/>
        <v>258.37624202564029</v>
      </c>
    </row>
    <row r="190" spans="1:20">
      <c r="A190">
        <v>180</v>
      </c>
      <c r="B190" s="12">
        <f t="shared" si="36"/>
        <v>3819.3223637236229</v>
      </c>
      <c r="C190" s="12">
        <f t="shared" si="51"/>
        <v>1728.1120237066223</v>
      </c>
      <c r="D190" s="12">
        <f t="shared" si="52"/>
        <v>2091.2103400170008</v>
      </c>
      <c r="E190" s="12">
        <f t="shared" si="53"/>
        <v>516342.39677196968</v>
      </c>
      <c r="F190" s="12">
        <f t="shared" si="39"/>
        <v>1347276.2989545786</v>
      </c>
      <c r="G190" s="12">
        <f t="shared" si="40"/>
        <v>830933.90218260884</v>
      </c>
      <c r="H190" s="12">
        <f t="shared" si="41"/>
        <v>-621.76801196753729</v>
      </c>
      <c r="I190" s="12">
        <f t="shared" si="42"/>
        <v>-2349.8800356741594</v>
      </c>
      <c r="J190" s="12">
        <f t="shared" si="37"/>
        <v>7.8534874963529546</v>
      </c>
      <c r="K190" s="12"/>
      <c r="L190" s="11">
        <f t="shared" si="43"/>
        <v>1909.6611818618114</v>
      </c>
      <c r="M190" s="11">
        <f t="shared" si="44"/>
        <v>864.05601185331113</v>
      </c>
      <c r="N190" s="11">
        <f t="shared" si="45"/>
        <v>1045.6051700085004</v>
      </c>
      <c r="O190" s="11">
        <f t="shared" si="46"/>
        <v>258171.19838598484</v>
      </c>
      <c r="P190" s="11">
        <f t="shared" si="47"/>
        <v>673638.14947728929</v>
      </c>
      <c r="Q190" s="11">
        <f t="shared" si="48"/>
        <v>415466.95109130442</v>
      </c>
      <c r="R190" s="11">
        <f t="shared" si="49"/>
        <v>-836.99540072553077</v>
      </c>
      <c r="S190" s="11">
        <f t="shared" si="50"/>
        <v>-1701.0514125788418</v>
      </c>
      <c r="T190" s="11">
        <f t="shared" si="38"/>
        <v>263.72652339658498</v>
      </c>
    </row>
    <row r="191" spans="1:20">
      <c r="A191">
        <v>181</v>
      </c>
      <c r="B191" s="12">
        <f t="shared" si="36"/>
        <v>3819.3223637236229</v>
      </c>
      <c r="C191" s="12">
        <f t="shared" si="51"/>
        <v>1721.1413225732322</v>
      </c>
      <c r="D191" s="12">
        <f t="shared" si="52"/>
        <v>2098.1810411503907</v>
      </c>
      <c r="E191" s="12">
        <f t="shared" si="53"/>
        <v>514244.21573081927</v>
      </c>
      <c r="F191" s="12">
        <f t="shared" si="39"/>
        <v>1349521.7594528364</v>
      </c>
      <c r="G191" s="12">
        <f t="shared" si="40"/>
        <v>835277.54372201709</v>
      </c>
      <c r="H191" s="12">
        <f t="shared" si="41"/>
        <v>-622.80429198748323</v>
      </c>
      <c r="I191" s="12">
        <f t="shared" si="42"/>
        <v>-2343.9456145607155</v>
      </c>
      <c r="J191" s="12">
        <f t="shared" si="37"/>
        <v>17.717464481747811</v>
      </c>
      <c r="K191" s="12"/>
      <c r="L191" s="11">
        <f t="shared" si="43"/>
        <v>1909.6611818618114</v>
      </c>
      <c r="M191" s="11">
        <f t="shared" si="44"/>
        <v>860.57066128661609</v>
      </c>
      <c r="N191" s="11">
        <f t="shared" si="45"/>
        <v>1049.0905205751953</v>
      </c>
      <c r="O191" s="11">
        <f t="shared" si="46"/>
        <v>257122.10786540963</v>
      </c>
      <c r="P191" s="11">
        <f t="shared" si="47"/>
        <v>674760.87972641818</v>
      </c>
      <c r="Q191" s="11">
        <f t="shared" si="48"/>
        <v>417638.77186100854</v>
      </c>
      <c r="R191" s="11">
        <f t="shared" si="49"/>
        <v>-838.39039306007339</v>
      </c>
      <c r="S191" s="11">
        <f t="shared" si="50"/>
        <v>-1698.9610543466895</v>
      </c>
      <c r="T191" s="11">
        <f t="shared" si="38"/>
        <v>269.09151152203026</v>
      </c>
    </row>
    <row r="192" spans="1:20">
      <c r="A192">
        <v>182</v>
      </c>
      <c r="B192" s="12">
        <f t="shared" si="36"/>
        <v>3819.3223637236229</v>
      </c>
      <c r="C192" s="12">
        <f t="shared" si="51"/>
        <v>1714.1473857693975</v>
      </c>
      <c r="D192" s="12">
        <f t="shared" si="52"/>
        <v>2105.1749779542251</v>
      </c>
      <c r="E192" s="12">
        <f t="shared" si="53"/>
        <v>512139.04075286502</v>
      </c>
      <c r="F192" s="12">
        <f t="shared" si="39"/>
        <v>1351770.9623852577</v>
      </c>
      <c r="G192" s="12">
        <f t="shared" si="40"/>
        <v>839631.92163239268</v>
      </c>
      <c r="H192" s="12">
        <f t="shared" si="41"/>
        <v>-623.84229914079572</v>
      </c>
      <c r="I192" s="12">
        <f t="shared" si="42"/>
        <v>-2337.9896849101933</v>
      </c>
      <c r="J192" s="12">
        <f t="shared" si="37"/>
        <v>27.609499264007354</v>
      </c>
      <c r="K192" s="12"/>
      <c r="L192" s="11">
        <f t="shared" si="43"/>
        <v>1909.6611818618114</v>
      </c>
      <c r="M192" s="11">
        <f t="shared" si="44"/>
        <v>857.07369288469874</v>
      </c>
      <c r="N192" s="11">
        <f t="shared" si="45"/>
        <v>1052.5874889771126</v>
      </c>
      <c r="O192" s="11">
        <f t="shared" si="46"/>
        <v>256069.52037643251</v>
      </c>
      <c r="P192" s="11">
        <f t="shared" si="47"/>
        <v>675885.48119262885</v>
      </c>
      <c r="Q192" s="11">
        <f t="shared" si="48"/>
        <v>419815.96081619634</v>
      </c>
      <c r="R192" s="11">
        <f t="shared" si="49"/>
        <v>-839.78771038184027</v>
      </c>
      <c r="S192" s="11">
        <f t="shared" si="50"/>
        <v>-1696.8614032665391</v>
      </c>
      <c r="T192" s="11">
        <f t="shared" si="38"/>
        <v>274.47125021196166</v>
      </c>
    </row>
    <row r="193" spans="1:20">
      <c r="A193">
        <v>183</v>
      </c>
      <c r="B193" s="12">
        <f t="shared" si="36"/>
        <v>3819.3223637236229</v>
      </c>
      <c r="C193" s="12">
        <f t="shared" si="51"/>
        <v>1707.1301358428834</v>
      </c>
      <c r="D193" s="12">
        <f t="shared" si="52"/>
        <v>2112.1922278807397</v>
      </c>
      <c r="E193" s="12">
        <f t="shared" si="53"/>
        <v>510026.84852498426</v>
      </c>
      <c r="F193" s="12">
        <f t="shared" si="39"/>
        <v>1354023.9139892331</v>
      </c>
      <c r="G193" s="12">
        <f t="shared" si="40"/>
        <v>843997.06546424888</v>
      </c>
      <c r="H193" s="12">
        <f t="shared" si="41"/>
        <v>-624.88203630603039</v>
      </c>
      <c r="I193" s="12">
        <f t="shared" si="42"/>
        <v>-2332.012172148914</v>
      </c>
      <c r="J193" s="12">
        <f t="shared" si="37"/>
        <v>37.529677332243409</v>
      </c>
      <c r="K193" s="12"/>
      <c r="L193" s="11">
        <f t="shared" si="43"/>
        <v>1909.6611818618114</v>
      </c>
      <c r="M193" s="11">
        <f t="shared" si="44"/>
        <v>853.56506792144171</v>
      </c>
      <c r="N193" s="11">
        <f t="shared" si="45"/>
        <v>1056.0961139403698</v>
      </c>
      <c r="O193" s="11">
        <f t="shared" si="46"/>
        <v>255013.42426249213</v>
      </c>
      <c r="P193" s="11">
        <f t="shared" si="47"/>
        <v>677011.95699461654</v>
      </c>
      <c r="Q193" s="11">
        <f t="shared" si="48"/>
        <v>421998.53273212444</v>
      </c>
      <c r="R193" s="11">
        <f t="shared" si="49"/>
        <v>-841.18735656581009</v>
      </c>
      <c r="S193" s="11">
        <f t="shared" si="50"/>
        <v>-1694.7524244872518</v>
      </c>
      <c r="T193" s="11">
        <f t="shared" si="38"/>
        <v>279.86578341371319</v>
      </c>
    </row>
    <row r="194" spans="1:20">
      <c r="A194">
        <v>184</v>
      </c>
      <c r="B194" s="12">
        <f t="shared" si="36"/>
        <v>3819.3223637236229</v>
      </c>
      <c r="C194" s="12">
        <f t="shared" si="51"/>
        <v>1700.0894950832808</v>
      </c>
      <c r="D194" s="12">
        <f t="shared" si="52"/>
        <v>2119.2328686403421</v>
      </c>
      <c r="E194" s="12">
        <f t="shared" si="53"/>
        <v>507907.61565634393</v>
      </c>
      <c r="F194" s="12">
        <f t="shared" si="39"/>
        <v>1356280.6205125486</v>
      </c>
      <c r="G194" s="12">
        <f t="shared" si="40"/>
        <v>848373.00485620461</v>
      </c>
      <c r="H194" s="12">
        <f t="shared" si="41"/>
        <v>-625.92350636654044</v>
      </c>
      <c r="I194" s="12">
        <f t="shared" si="42"/>
        <v>-2326.0130014498213</v>
      </c>
      <c r="J194" s="12">
        <f t="shared" si="37"/>
        <v>47.478084447138372</v>
      </c>
      <c r="K194" s="12"/>
      <c r="L194" s="11">
        <f t="shared" si="43"/>
        <v>1909.6611818618114</v>
      </c>
      <c r="M194" s="11">
        <f t="shared" si="44"/>
        <v>850.04474754164039</v>
      </c>
      <c r="N194" s="11">
        <f t="shared" si="45"/>
        <v>1059.616434320171</v>
      </c>
      <c r="O194" s="11">
        <f t="shared" si="46"/>
        <v>253953.80782817196</v>
      </c>
      <c r="P194" s="11">
        <f t="shared" si="47"/>
        <v>678140.3102562743</v>
      </c>
      <c r="Q194" s="11">
        <f t="shared" si="48"/>
        <v>424186.50242810231</v>
      </c>
      <c r="R194" s="11">
        <f t="shared" si="49"/>
        <v>-842.58933549341975</v>
      </c>
      <c r="S194" s="11">
        <f t="shared" si="50"/>
        <v>-1692.63408303506</v>
      </c>
      <c r="T194" s="11">
        <f t="shared" si="38"/>
        <v>285.27515521240684</v>
      </c>
    </row>
    <row r="195" spans="1:20">
      <c r="A195">
        <v>185</v>
      </c>
      <c r="B195" s="12">
        <f t="shared" si="36"/>
        <v>3819.3223637236229</v>
      </c>
      <c r="C195" s="12">
        <f t="shared" si="51"/>
        <v>1693.0253855211465</v>
      </c>
      <c r="D195" s="12">
        <f t="shared" si="52"/>
        <v>2126.2969782024766</v>
      </c>
      <c r="E195" s="12">
        <f t="shared" si="53"/>
        <v>505781.31867814146</v>
      </c>
      <c r="F195" s="12">
        <f t="shared" si="39"/>
        <v>1358541.088213403</v>
      </c>
      <c r="G195" s="12">
        <f t="shared" si="40"/>
        <v>852759.76953526156</v>
      </c>
      <c r="H195" s="12">
        <f t="shared" si="41"/>
        <v>-626.96671221048473</v>
      </c>
      <c r="I195" s="12">
        <f t="shared" si="42"/>
        <v>-2319.9920977316315</v>
      </c>
      <c r="J195" s="12">
        <f t="shared" si="37"/>
        <v>57.454806641823325</v>
      </c>
      <c r="K195" s="12"/>
      <c r="L195" s="11">
        <f t="shared" si="43"/>
        <v>1909.6611818618114</v>
      </c>
      <c r="M195" s="11">
        <f t="shared" si="44"/>
        <v>846.51269276057326</v>
      </c>
      <c r="N195" s="11">
        <f t="shared" si="45"/>
        <v>1063.1484891012383</v>
      </c>
      <c r="O195" s="11">
        <f t="shared" si="46"/>
        <v>252890.65933907073</v>
      </c>
      <c r="P195" s="11">
        <f t="shared" si="47"/>
        <v>679270.54410670151</v>
      </c>
      <c r="Q195" s="11">
        <f t="shared" si="48"/>
        <v>426379.88476763078</v>
      </c>
      <c r="R195" s="11">
        <f t="shared" si="49"/>
        <v>-843.9936510525755</v>
      </c>
      <c r="S195" s="11">
        <f t="shared" si="50"/>
        <v>-1690.5063438131488</v>
      </c>
      <c r="T195" s="11">
        <f t="shared" si="38"/>
        <v>290.69940983139713</v>
      </c>
    </row>
    <row r="196" spans="1:20">
      <c r="A196">
        <v>186</v>
      </c>
      <c r="B196" s="12">
        <f t="shared" si="36"/>
        <v>3819.3223637236229</v>
      </c>
      <c r="C196" s="12">
        <f t="shared" si="51"/>
        <v>1685.9377289271381</v>
      </c>
      <c r="D196" s="12">
        <f t="shared" si="52"/>
        <v>2133.3846347964845</v>
      </c>
      <c r="E196" s="12">
        <f t="shared" si="53"/>
        <v>503647.93404334498</v>
      </c>
      <c r="F196" s="12">
        <f t="shared" si="39"/>
        <v>1360805.3233604254</v>
      </c>
      <c r="G196" s="12">
        <f t="shared" si="40"/>
        <v>857157.38931708038</v>
      </c>
      <c r="H196" s="12">
        <f t="shared" si="41"/>
        <v>-628.01165673083551</v>
      </c>
      <c r="I196" s="12">
        <f t="shared" si="42"/>
        <v>-2313.9493856579738</v>
      </c>
      <c r="J196" s="12">
        <f t="shared" si="37"/>
        <v>67.459930222770708</v>
      </c>
      <c r="K196" s="12"/>
      <c r="L196" s="11">
        <f t="shared" si="43"/>
        <v>1909.6611818618114</v>
      </c>
      <c r="M196" s="11">
        <f t="shared" si="44"/>
        <v>842.96886446356905</v>
      </c>
      <c r="N196" s="11">
        <f t="shared" si="45"/>
        <v>1066.6923173982423</v>
      </c>
      <c r="O196" s="11">
        <f t="shared" si="46"/>
        <v>251823.96702167249</v>
      </c>
      <c r="P196" s="11">
        <f t="shared" si="47"/>
        <v>680402.66168021271</v>
      </c>
      <c r="Q196" s="11">
        <f t="shared" si="48"/>
        <v>428578.69465854019</v>
      </c>
      <c r="R196" s="11">
        <f t="shared" si="49"/>
        <v>-845.40030713766316</v>
      </c>
      <c r="S196" s="11">
        <f t="shared" si="50"/>
        <v>-1688.3691716012322</v>
      </c>
      <c r="T196" s="11">
        <f t="shared" si="38"/>
        <v>296.1385916327215</v>
      </c>
    </row>
    <row r="197" spans="1:20">
      <c r="A197">
        <v>187</v>
      </c>
      <c r="B197" s="12">
        <f t="shared" si="36"/>
        <v>3819.3223637236229</v>
      </c>
      <c r="C197" s="12">
        <f t="shared" si="51"/>
        <v>1678.8264468111499</v>
      </c>
      <c r="D197" s="12">
        <f t="shared" si="52"/>
        <v>2140.4959169124731</v>
      </c>
      <c r="E197" s="12">
        <f t="shared" si="53"/>
        <v>501507.43812643253</v>
      </c>
      <c r="F197" s="12">
        <f t="shared" si="39"/>
        <v>1363073.3322326927</v>
      </c>
      <c r="G197" s="12">
        <f t="shared" si="40"/>
        <v>861565.89410626027</v>
      </c>
      <c r="H197" s="12">
        <f t="shared" si="41"/>
        <v>-629.05834282538694</v>
      </c>
      <c r="I197" s="12">
        <f t="shared" si="42"/>
        <v>-2307.8847896365369</v>
      </c>
      <c r="J197" s="12">
        <f t="shared" si="37"/>
        <v>77.49354177067471</v>
      </c>
      <c r="K197" s="12"/>
      <c r="L197" s="11">
        <f t="shared" si="43"/>
        <v>1909.6611818618114</v>
      </c>
      <c r="M197" s="11">
        <f t="shared" si="44"/>
        <v>839.41322340557497</v>
      </c>
      <c r="N197" s="11">
        <f t="shared" si="45"/>
        <v>1070.2479584562366</v>
      </c>
      <c r="O197" s="11">
        <f t="shared" si="46"/>
        <v>250753.71906321627</v>
      </c>
      <c r="P197" s="11">
        <f t="shared" si="47"/>
        <v>681536.66611634637</v>
      </c>
      <c r="Q197" s="11">
        <f t="shared" si="48"/>
        <v>430782.94705313013</v>
      </c>
      <c r="R197" s="11">
        <f t="shared" si="49"/>
        <v>-846.80930764955929</v>
      </c>
      <c r="S197" s="11">
        <f t="shared" si="50"/>
        <v>-1686.2225310551344</v>
      </c>
      <c r="T197" s="11">
        <f t="shared" si="38"/>
        <v>301.59274511754256</v>
      </c>
    </row>
    <row r="198" spans="1:20">
      <c r="A198">
        <v>188</v>
      </c>
      <c r="B198" s="12">
        <f t="shared" si="36"/>
        <v>3819.3223637236229</v>
      </c>
      <c r="C198" s="12">
        <f t="shared" si="51"/>
        <v>1671.6914604214419</v>
      </c>
      <c r="D198" s="12">
        <f t="shared" si="52"/>
        <v>2147.6309033021807</v>
      </c>
      <c r="E198" s="12">
        <f t="shared" si="53"/>
        <v>499359.80722313037</v>
      </c>
      <c r="F198" s="12">
        <f t="shared" si="39"/>
        <v>1365345.1211197472</v>
      </c>
      <c r="G198" s="12">
        <f t="shared" si="40"/>
        <v>865985.3138966168</v>
      </c>
      <c r="H198" s="12">
        <f t="shared" si="41"/>
        <v>-630.10677339676261</v>
      </c>
      <c r="I198" s="12">
        <f t="shared" si="42"/>
        <v>-2301.7982338182046</v>
      </c>
      <c r="J198" s="12">
        <f t="shared" si="37"/>
        <v>87.555728141352574</v>
      </c>
      <c r="K198" s="12"/>
      <c r="L198" s="11">
        <f t="shared" si="43"/>
        <v>1909.6611818618114</v>
      </c>
      <c r="M198" s="11">
        <f t="shared" si="44"/>
        <v>835.84573021072094</v>
      </c>
      <c r="N198" s="11">
        <f t="shared" si="45"/>
        <v>1073.8154516510904</v>
      </c>
      <c r="O198" s="11">
        <f t="shared" si="46"/>
        <v>249679.90361156518</v>
      </c>
      <c r="P198" s="11">
        <f t="shared" si="47"/>
        <v>682672.56055987359</v>
      </c>
      <c r="Q198" s="11">
        <f t="shared" si="48"/>
        <v>432992.6569483084</v>
      </c>
      <c r="R198" s="11">
        <f t="shared" si="49"/>
        <v>-848.22065649564195</v>
      </c>
      <c r="S198" s="11">
        <f t="shared" si="50"/>
        <v>-1684.0663867063629</v>
      </c>
      <c r="T198" s="11">
        <f t="shared" si="38"/>
        <v>307.06191492660196</v>
      </c>
    </row>
    <row r="199" spans="1:20">
      <c r="A199">
        <v>189</v>
      </c>
      <c r="B199" s="12">
        <f t="shared" si="36"/>
        <v>3819.3223637236229</v>
      </c>
      <c r="C199" s="12">
        <f t="shared" si="51"/>
        <v>1664.5326907437677</v>
      </c>
      <c r="D199" s="12">
        <f t="shared" si="52"/>
        <v>2154.7896729798549</v>
      </c>
      <c r="E199" s="12">
        <f t="shared" si="53"/>
        <v>497205.01755015051</v>
      </c>
      <c r="F199" s="12">
        <f t="shared" si="39"/>
        <v>1367620.6963216134</v>
      </c>
      <c r="G199" s="12">
        <f t="shared" si="40"/>
        <v>870415.67877146287</v>
      </c>
      <c r="H199" s="12">
        <f t="shared" si="41"/>
        <v>-631.1569513524239</v>
      </c>
      <c r="I199" s="12">
        <f t="shared" si="42"/>
        <v>-2295.6896420961916</v>
      </c>
      <c r="J199" s="12">
        <f t="shared" si="37"/>
        <v>97.646576466631814</v>
      </c>
      <c r="K199" s="12"/>
      <c r="L199" s="11">
        <f t="shared" si="43"/>
        <v>1909.6611818618114</v>
      </c>
      <c r="M199" s="11">
        <f t="shared" si="44"/>
        <v>832.26634537188386</v>
      </c>
      <c r="N199" s="11">
        <f t="shared" si="45"/>
        <v>1077.3948364899275</v>
      </c>
      <c r="O199" s="11">
        <f t="shared" si="46"/>
        <v>248602.50877507526</v>
      </c>
      <c r="P199" s="11">
        <f t="shared" si="47"/>
        <v>683810.34816080669</v>
      </c>
      <c r="Q199" s="11">
        <f t="shared" si="48"/>
        <v>435207.83938573144</v>
      </c>
      <c r="R199" s="11">
        <f t="shared" si="49"/>
        <v>-849.63435758980143</v>
      </c>
      <c r="S199" s="11">
        <f t="shared" si="50"/>
        <v>-1681.9007029616853</v>
      </c>
      <c r="T199" s="11">
        <f t="shared" si="38"/>
        <v>312.5461458406678</v>
      </c>
    </row>
    <row r="200" spans="1:20">
      <c r="A200">
        <v>190</v>
      </c>
      <c r="B200" s="12">
        <f t="shared" si="36"/>
        <v>3819.3223637236229</v>
      </c>
      <c r="C200" s="12">
        <f t="shared" si="51"/>
        <v>1657.350058500502</v>
      </c>
      <c r="D200" s="12">
        <f t="shared" si="52"/>
        <v>2161.9723052231211</v>
      </c>
      <c r="E200" s="12">
        <f t="shared" si="53"/>
        <v>495043.0452449274</v>
      </c>
      <c r="F200" s="12">
        <f t="shared" si="39"/>
        <v>1369900.064148816</v>
      </c>
      <c r="G200" s="12">
        <f t="shared" si="40"/>
        <v>874857.01890388865</v>
      </c>
      <c r="H200" s="12">
        <f t="shared" si="41"/>
        <v>-632.20887960467792</v>
      </c>
      <c r="I200" s="12">
        <f t="shared" si="42"/>
        <v>-2289.55893810518</v>
      </c>
      <c r="J200" s="12">
        <f t="shared" si="37"/>
        <v>107.76617415524788</v>
      </c>
      <c r="K200" s="12"/>
      <c r="L200" s="11">
        <f t="shared" si="43"/>
        <v>1909.6611818618114</v>
      </c>
      <c r="M200" s="11">
        <f t="shared" si="44"/>
        <v>828.67502925025099</v>
      </c>
      <c r="N200" s="11">
        <f t="shared" si="45"/>
        <v>1080.9861526115606</v>
      </c>
      <c r="O200" s="11">
        <f t="shared" si="46"/>
        <v>247521.5226224637</v>
      </c>
      <c r="P200" s="11">
        <f t="shared" si="47"/>
        <v>684950.03207440802</v>
      </c>
      <c r="Q200" s="11">
        <f t="shared" si="48"/>
        <v>437428.50945194432</v>
      </c>
      <c r="R200" s="11">
        <f t="shared" si="49"/>
        <v>-851.05041485245113</v>
      </c>
      <c r="S200" s="11">
        <f t="shared" si="50"/>
        <v>-1679.7254441027021</v>
      </c>
      <c r="T200" s="11">
        <f t="shared" si="38"/>
        <v>318.0454827809881</v>
      </c>
    </row>
    <row r="201" spans="1:20">
      <c r="A201">
        <v>191</v>
      </c>
      <c r="B201" s="12">
        <f t="shared" si="36"/>
        <v>3819.3223637236229</v>
      </c>
      <c r="C201" s="12">
        <f t="shared" si="51"/>
        <v>1650.1434841497583</v>
      </c>
      <c r="D201" s="12">
        <f t="shared" si="52"/>
        <v>2169.1788795738648</v>
      </c>
      <c r="E201" s="12">
        <f t="shared" si="53"/>
        <v>492873.86636535352</v>
      </c>
      <c r="F201" s="12">
        <f t="shared" si="39"/>
        <v>1372183.2309223975</v>
      </c>
      <c r="G201" s="12">
        <f t="shared" si="40"/>
        <v>879309.36455704388</v>
      </c>
      <c r="H201" s="12">
        <f t="shared" si="41"/>
        <v>-633.26256107068571</v>
      </c>
      <c r="I201" s="12">
        <f t="shared" si="42"/>
        <v>-2283.406045220444</v>
      </c>
      <c r="J201" s="12">
        <f t="shared" si="37"/>
        <v>117.91460889375139</v>
      </c>
      <c r="K201" s="12"/>
      <c r="L201" s="11">
        <f t="shared" si="43"/>
        <v>1909.6611818618114</v>
      </c>
      <c r="M201" s="11">
        <f t="shared" si="44"/>
        <v>825.07174207487913</v>
      </c>
      <c r="N201" s="11">
        <f t="shared" si="45"/>
        <v>1084.5894397869324</v>
      </c>
      <c r="O201" s="11">
        <f t="shared" si="46"/>
        <v>246436.93318267676</v>
      </c>
      <c r="P201" s="11">
        <f t="shared" si="47"/>
        <v>686091.61546119873</v>
      </c>
      <c r="Q201" s="11">
        <f t="shared" si="48"/>
        <v>439654.68227852194</v>
      </c>
      <c r="R201" s="11">
        <f t="shared" si="49"/>
        <v>-852.46883221053861</v>
      </c>
      <c r="S201" s="11">
        <f t="shared" si="50"/>
        <v>-1677.5405742854177</v>
      </c>
      <c r="T201" s="11">
        <f t="shared" si="38"/>
        <v>323.55997080974544</v>
      </c>
    </row>
    <row r="202" spans="1:20">
      <c r="A202">
        <v>192</v>
      </c>
      <c r="B202" s="12">
        <f t="shared" si="36"/>
        <v>3819.3223637236229</v>
      </c>
      <c r="C202" s="12">
        <f t="shared" si="51"/>
        <v>1642.912887884512</v>
      </c>
      <c r="D202" s="12">
        <f t="shared" si="52"/>
        <v>2176.4094758391111</v>
      </c>
      <c r="E202" s="12">
        <f t="shared" si="53"/>
        <v>490697.4568895144</v>
      </c>
      <c r="F202" s="12">
        <f t="shared" si="39"/>
        <v>1374470.2029739348</v>
      </c>
      <c r="G202" s="12">
        <f t="shared" si="40"/>
        <v>883772.74608442048</v>
      </c>
      <c r="H202" s="12">
        <f t="shared" si="41"/>
        <v>-634.31799867247025</v>
      </c>
      <c r="I202" s="12">
        <f t="shared" si="42"/>
        <v>-2277.2308865569821</v>
      </c>
      <c r="J202" s="12">
        <f t="shared" si="37"/>
        <v>128.09196864740352</v>
      </c>
      <c r="K202" s="12"/>
      <c r="L202" s="11">
        <f t="shared" si="43"/>
        <v>1909.6611818618114</v>
      </c>
      <c r="M202" s="11">
        <f t="shared" si="44"/>
        <v>821.45644394225599</v>
      </c>
      <c r="N202" s="11">
        <f t="shared" si="45"/>
        <v>1088.2047379195556</v>
      </c>
      <c r="O202" s="11">
        <f t="shared" si="46"/>
        <v>245348.7284447572</v>
      </c>
      <c r="P202" s="11">
        <f t="shared" si="47"/>
        <v>687235.10148696741</v>
      </c>
      <c r="Q202" s="11">
        <f t="shared" si="48"/>
        <v>441886.37304221024</v>
      </c>
      <c r="R202" s="11">
        <f t="shared" si="49"/>
        <v>-853.88961359755615</v>
      </c>
      <c r="S202" s="11">
        <f t="shared" si="50"/>
        <v>-1675.3460575398121</v>
      </c>
      <c r="T202" s="11">
        <f t="shared" si="38"/>
        <v>329.08965513050953</v>
      </c>
    </row>
    <row r="203" spans="1:20">
      <c r="A203">
        <v>193</v>
      </c>
      <c r="B203" s="12">
        <f t="shared" si="36"/>
        <v>3819.3223637236229</v>
      </c>
      <c r="C203" s="12">
        <f t="shared" si="51"/>
        <v>1635.6581896317148</v>
      </c>
      <c r="D203" s="12">
        <f t="shared" si="52"/>
        <v>2183.6641740919081</v>
      </c>
      <c r="E203" s="12">
        <f t="shared" si="53"/>
        <v>488513.79271542252</v>
      </c>
      <c r="F203" s="12">
        <f t="shared" si="39"/>
        <v>1376760.9866455582</v>
      </c>
      <c r="G203" s="12">
        <f t="shared" si="40"/>
        <v>888247.19393013557</v>
      </c>
      <c r="H203" s="12">
        <f t="shared" si="41"/>
        <v>-635.37519533692443</v>
      </c>
      <c r="I203" s="12">
        <f t="shared" si="42"/>
        <v>-2271.0333849686394</v>
      </c>
      <c r="J203" s="12">
        <f t="shared" si="37"/>
        <v>138.29834166108731</v>
      </c>
      <c r="K203" s="12"/>
      <c r="L203" s="11">
        <f t="shared" si="43"/>
        <v>1909.6611818618114</v>
      </c>
      <c r="M203" s="11">
        <f t="shared" si="44"/>
        <v>817.82909481585739</v>
      </c>
      <c r="N203" s="11">
        <f t="shared" si="45"/>
        <v>1091.832087045954</v>
      </c>
      <c r="O203" s="11">
        <f t="shared" si="46"/>
        <v>244256.89635771126</v>
      </c>
      <c r="P203" s="11">
        <f t="shared" si="47"/>
        <v>688380.49332277908</v>
      </c>
      <c r="Q203" s="11">
        <f t="shared" si="48"/>
        <v>444123.59696506779</v>
      </c>
      <c r="R203" s="11">
        <f t="shared" si="49"/>
        <v>-855.31276295355212</v>
      </c>
      <c r="S203" s="11">
        <f t="shared" si="50"/>
        <v>-1673.1418577694094</v>
      </c>
      <c r="T203" s="11">
        <f t="shared" si="38"/>
        <v>334.634581088696</v>
      </c>
    </row>
    <row r="204" spans="1:20">
      <c r="A204">
        <v>194</v>
      </c>
      <c r="B204" s="12">
        <f t="shared" ref="B204:B267" si="54">$C$5*($A$2/12*(1+$A$2/12)^(12*30))/((1+$A$2/12)^(30*12)-1)</f>
        <v>3819.3223637236229</v>
      </c>
      <c r="C204" s="12">
        <f t="shared" si="51"/>
        <v>1628.3793090514084</v>
      </c>
      <c r="D204" s="12">
        <f t="shared" si="52"/>
        <v>2190.9430546722142</v>
      </c>
      <c r="E204" s="12">
        <f t="shared" si="53"/>
        <v>486322.8496607503</v>
      </c>
      <c r="F204" s="12">
        <f t="shared" si="39"/>
        <v>1379055.5882899675</v>
      </c>
      <c r="G204" s="12">
        <f t="shared" si="40"/>
        <v>892732.73862921726</v>
      </c>
      <c r="H204" s="12">
        <f t="shared" si="41"/>
        <v>-636.43415399581932</v>
      </c>
      <c r="I204" s="12">
        <f t="shared" si="42"/>
        <v>-2264.8134630472277</v>
      </c>
      <c r="J204" s="12">
        <f t="shared" ref="J204:J267" si="55">F204*$H$5/12*(1-$C$2)+I204</f>
        <v>148.53381646021535</v>
      </c>
      <c r="K204" s="12"/>
      <c r="L204" s="11">
        <f t="shared" si="43"/>
        <v>1909.6611818618114</v>
      </c>
      <c r="M204" s="11">
        <f t="shared" si="44"/>
        <v>814.18965452570421</v>
      </c>
      <c r="N204" s="11">
        <f t="shared" si="45"/>
        <v>1095.4715273361071</v>
      </c>
      <c r="O204" s="11">
        <f t="shared" si="46"/>
        <v>243161.42483037515</v>
      </c>
      <c r="P204" s="11">
        <f t="shared" si="47"/>
        <v>689527.79414498375</v>
      </c>
      <c r="Q204" s="11">
        <f t="shared" si="48"/>
        <v>446366.36931460863</v>
      </c>
      <c r="R204" s="11">
        <f t="shared" si="49"/>
        <v>-856.73828422514146</v>
      </c>
      <c r="S204" s="11">
        <f t="shared" si="50"/>
        <v>-1670.9279387508457</v>
      </c>
      <c r="T204" s="11">
        <f t="shared" ref="T204:T267" si="56">P204*$H$6/12*(1-$C$2)+S204</f>
        <v>340.19479417202365</v>
      </c>
    </row>
    <row r="205" spans="1:20">
      <c r="A205">
        <v>195</v>
      </c>
      <c r="B205" s="12">
        <f t="shared" si="54"/>
        <v>3819.3223637236229</v>
      </c>
      <c r="C205" s="12">
        <f t="shared" si="51"/>
        <v>1621.0761655358344</v>
      </c>
      <c r="D205" s="12">
        <f t="shared" si="52"/>
        <v>2198.2461981877887</v>
      </c>
      <c r="E205" s="12">
        <f t="shared" si="53"/>
        <v>484124.60346256249</v>
      </c>
      <c r="F205" s="12">
        <f t="shared" ref="F205:F268" si="57">F204*(1+$D$5/12)</f>
        <v>1381354.0142704509</v>
      </c>
      <c r="G205" s="12">
        <f t="shared" ref="G205:G268" si="58">F205-E205</f>
        <v>897229.41080788849</v>
      </c>
      <c r="H205" s="12">
        <f t="shared" ref="H205:H268" si="59">H204*(1+$D$2/12)</f>
        <v>-637.49487758581233</v>
      </c>
      <c r="I205" s="12">
        <f t="shared" ref="I205:I268" si="60">0-C205+H205</f>
        <v>-2258.5710431216467</v>
      </c>
      <c r="J205" s="12">
        <f t="shared" si="55"/>
        <v>158.79848185164246</v>
      </c>
      <c r="K205" s="12"/>
      <c r="L205" s="11">
        <f t="shared" ref="L205:L268" si="61">$C$6*($A$2/12*(1+$A$2/12)^(12*30))/((1+$A$2/12)^(30*12)-1)</f>
        <v>1909.6611818618114</v>
      </c>
      <c r="M205" s="11">
        <f t="shared" ref="M205:M268" si="62">O204*$A$2/12</f>
        <v>810.53808276791722</v>
      </c>
      <c r="N205" s="11">
        <f t="shared" ref="N205:N268" si="63">L205-M205</f>
        <v>1099.1230990938943</v>
      </c>
      <c r="O205" s="11">
        <f t="shared" ref="O205:O268" si="64">O204-N205</f>
        <v>242062.30173128124</v>
      </c>
      <c r="P205" s="11">
        <f t="shared" ref="P205:P268" si="65">P204*(1+$D$6/12)</f>
        <v>690677.00713522546</v>
      </c>
      <c r="Q205" s="11">
        <f t="shared" ref="Q205:Q268" si="66">P205-O205</f>
        <v>448614.70540394424</v>
      </c>
      <c r="R205" s="11">
        <f t="shared" ref="R205:R268" si="67">R204*(1+$D$2/12)</f>
        <v>-858.16618136551676</v>
      </c>
      <c r="S205" s="11">
        <f t="shared" ref="S205:S268" si="68">0-M205+R205</f>
        <v>-1668.704264133434</v>
      </c>
      <c r="T205" s="11">
        <f t="shared" si="56"/>
        <v>345.77034001097354</v>
      </c>
    </row>
    <row r="206" spans="1:20">
      <c r="A206">
        <v>196</v>
      </c>
      <c r="B206" s="12">
        <f t="shared" si="54"/>
        <v>3819.3223637236229</v>
      </c>
      <c r="C206" s="12">
        <f t="shared" ref="C206:C269" si="69">E205*$A$2/12</f>
        <v>1613.7486782085416</v>
      </c>
      <c r="D206" s="12">
        <f t="shared" ref="D206:D269" si="70">B206-C206</f>
        <v>2205.5736855150813</v>
      </c>
      <c r="E206" s="12">
        <f t="shared" ref="E206:E269" si="71">E205-D206</f>
        <v>481919.0297770474</v>
      </c>
      <c r="F206" s="12">
        <f t="shared" si="57"/>
        <v>1383656.2709609016</v>
      </c>
      <c r="G206" s="12">
        <f t="shared" si="58"/>
        <v>901737.24118385417</v>
      </c>
      <c r="H206" s="12">
        <f t="shared" si="59"/>
        <v>-638.55736904845537</v>
      </c>
      <c r="I206" s="12">
        <f t="shared" si="60"/>
        <v>-2252.3060472569969</v>
      </c>
      <c r="J206" s="12">
        <f t="shared" si="55"/>
        <v>169.09242692458065</v>
      </c>
      <c r="K206" s="12"/>
      <c r="L206" s="11">
        <f t="shared" si="61"/>
        <v>1909.6611818618114</v>
      </c>
      <c r="M206" s="11">
        <f t="shared" si="62"/>
        <v>806.8743391042708</v>
      </c>
      <c r="N206" s="11">
        <f t="shared" si="63"/>
        <v>1102.7868427575406</v>
      </c>
      <c r="O206" s="11">
        <f t="shared" si="64"/>
        <v>240959.5148885237</v>
      </c>
      <c r="P206" s="11">
        <f t="shared" si="65"/>
        <v>691828.13548045082</v>
      </c>
      <c r="Q206" s="11">
        <f t="shared" si="66"/>
        <v>450868.62059192709</v>
      </c>
      <c r="R206" s="11">
        <f t="shared" si="67"/>
        <v>-859.59645833445927</v>
      </c>
      <c r="S206" s="11">
        <f t="shared" si="68"/>
        <v>-1666.4707974387302</v>
      </c>
      <c r="T206" s="11">
        <f t="shared" si="56"/>
        <v>351.36126437925145</v>
      </c>
    </row>
    <row r="207" spans="1:20">
      <c r="A207">
        <v>197</v>
      </c>
      <c r="B207" s="12">
        <f t="shared" si="54"/>
        <v>3819.3223637236229</v>
      </c>
      <c r="C207" s="12">
        <f t="shared" si="69"/>
        <v>1606.3967659234913</v>
      </c>
      <c r="D207" s="12">
        <f t="shared" si="70"/>
        <v>2212.9255978001315</v>
      </c>
      <c r="E207" s="12">
        <f t="shared" si="71"/>
        <v>479706.10417924728</v>
      </c>
      <c r="F207" s="12">
        <f t="shared" si="57"/>
        <v>1385962.3647458365</v>
      </c>
      <c r="G207" s="12">
        <f t="shared" si="58"/>
        <v>906256.26056658919</v>
      </c>
      <c r="H207" s="12">
        <f t="shared" si="59"/>
        <v>-639.62163133020283</v>
      </c>
      <c r="I207" s="12">
        <f t="shared" si="60"/>
        <v>-2246.0183972536943</v>
      </c>
      <c r="J207" s="12">
        <f t="shared" si="55"/>
        <v>179.41574105151903</v>
      </c>
      <c r="K207" s="12"/>
      <c r="L207" s="11">
        <f t="shared" si="61"/>
        <v>1909.6611818618114</v>
      </c>
      <c r="M207" s="11">
        <f t="shared" si="62"/>
        <v>803.19838296174566</v>
      </c>
      <c r="N207" s="11">
        <f t="shared" si="63"/>
        <v>1106.4627989000658</v>
      </c>
      <c r="O207" s="11">
        <f t="shared" si="64"/>
        <v>239853.05208962364</v>
      </c>
      <c r="P207" s="11">
        <f t="shared" si="65"/>
        <v>692981.18237291824</v>
      </c>
      <c r="Q207" s="11">
        <f t="shared" si="66"/>
        <v>453128.13028329459</v>
      </c>
      <c r="R207" s="11">
        <f t="shared" si="67"/>
        <v>-861.02911909835007</v>
      </c>
      <c r="S207" s="11">
        <f t="shared" si="68"/>
        <v>-1664.2275020600957</v>
      </c>
      <c r="T207" s="11">
        <f t="shared" si="56"/>
        <v>356.96761319424922</v>
      </c>
    </row>
    <row r="208" spans="1:20">
      <c r="A208">
        <v>198</v>
      </c>
      <c r="B208" s="12">
        <f t="shared" si="54"/>
        <v>3819.3223637236229</v>
      </c>
      <c r="C208" s="12">
        <f t="shared" si="69"/>
        <v>1599.0203472641576</v>
      </c>
      <c r="D208" s="12">
        <f t="shared" si="70"/>
        <v>2220.3020164594654</v>
      </c>
      <c r="E208" s="12">
        <f t="shared" si="71"/>
        <v>477485.80216278782</v>
      </c>
      <c r="F208" s="12">
        <f t="shared" si="57"/>
        <v>1388272.3020204129</v>
      </c>
      <c r="G208" s="12">
        <f t="shared" si="58"/>
        <v>910786.49985762499</v>
      </c>
      <c r="H208" s="12">
        <f t="shared" si="59"/>
        <v>-640.68766738241982</v>
      </c>
      <c r="I208" s="12">
        <f t="shared" si="60"/>
        <v>-2239.7080146465773</v>
      </c>
      <c r="J208" s="12">
        <f t="shared" si="55"/>
        <v>189.76851388914474</v>
      </c>
      <c r="K208" s="12"/>
      <c r="L208" s="11">
        <f t="shared" si="61"/>
        <v>1909.6611818618114</v>
      </c>
      <c r="M208" s="11">
        <f t="shared" si="62"/>
        <v>799.51017363207882</v>
      </c>
      <c r="N208" s="11">
        <f t="shared" si="63"/>
        <v>1110.1510082297327</v>
      </c>
      <c r="O208" s="11">
        <f t="shared" si="64"/>
        <v>238742.90108139391</v>
      </c>
      <c r="P208" s="11">
        <f t="shared" si="65"/>
        <v>694136.15101020643</v>
      </c>
      <c r="Q208" s="11">
        <f t="shared" si="66"/>
        <v>455393.2499288125</v>
      </c>
      <c r="R208" s="11">
        <f t="shared" si="67"/>
        <v>-862.46416763018067</v>
      </c>
      <c r="S208" s="11">
        <f t="shared" si="68"/>
        <v>-1661.9743412622595</v>
      </c>
      <c r="T208" s="11">
        <f t="shared" si="56"/>
        <v>362.58943251750929</v>
      </c>
    </row>
    <row r="209" spans="1:20">
      <c r="A209">
        <v>199</v>
      </c>
      <c r="B209" s="12">
        <f t="shared" si="54"/>
        <v>3819.3223637236229</v>
      </c>
      <c r="C209" s="12">
        <f t="shared" si="69"/>
        <v>1591.6193405426259</v>
      </c>
      <c r="D209" s="12">
        <f t="shared" si="70"/>
        <v>2227.7030231809968</v>
      </c>
      <c r="E209" s="12">
        <f t="shared" si="71"/>
        <v>475258.09913960681</v>
      </c>
      <c r="F209" s="12">
        <f t="shared" si="57"/>
        <v>1390586.089190447</v>
      </c>
      <c r="G209" s="12">
        <f t="shared" si="58"/>
        <v>915327.99005084019</v>
      </c>
      <c r="H209" s="12">
        <f t="shared" si="59"/>
        <v>-641.75548016139055</v>
      </c>
      <c r="I209" s="12">
        <f t="shared" si="60"/>
        <v>-2233.3748207040162</v>
      </c>
      <c r="J209" s="12">
        <f t="shared" si="55"/>
        <v>200.15083537926557</v>
      </c>
      <c r="K209" s="12"/>
      <c r="L209" s="11">
        <f t="shared" si="61"/>
        <v>1909.6611818618114</v>
      </c>
      <c r="M209" s="11">
        <f t="shared" si="62"/>
        <v>795.80967027131294</v>
      </c>
      <c r="N209" s="11">
        <f t="shared" si="63"/>
        <v>1113.8515115904984</v>
      </c>
      <c r="O209" s="11">
        <f t="shared" si="64"/>
        <v>237629.04956980341</v>
      </c>
      <c r="P209" s="11">
        <f t="shared" si="65"/>
        <v>695293.0445952235</v>
      </c>
      <c r="Q209" s="11">
        <f t="shared" si="66"/>
        <v>457663.9950254201</v>
      </c>
      <c r="R209" s="11">
        <f t="shared" si="67"/>
        <v>-863.90160790956429</v>
      </c>
      <c r="S209" s="11">
        <f t="shared" si="68"/>
        <v>-1659.7112781808773</v>
      </c>
      <c r="T209" s="11">
        <f t="shared" si="56"/>
        <v>368.22676855519103</v>
      </c>
    </row>
    <row r="210" spans="1:20">
      <c r="A210">
        <v>200</v>
      </c>
      <c r="B210" s="12">
        <f t="shared" si="54"/>
        <v>3819.3223637236229</v>
      </c>
      <c r="C210" s="12">
        <f t="shared" si="69"/>
        <v>1584.1936637986894</v>
      </c>
      <c r="D210" s="12">
        <f t="shared" si="70"/>
        <v>2235.1286999249332</v>
      </c>
      <c r="E210" s="12">
        <f t="shared" si="71"/>
        <v>473022.9704396819</v>
      </c>
      <c r="F210" s="12">
        <f t="shared" si="57"/>
        <v>1392903.732672431</v>
      </c>
      <c r="G210" s="12">
        <f t="shared" si="58"/>
        <v>919880.76223274914</v>
      </c>
      <c r="H210" s="12">
        <f t="shared" si="59"/>
        <v>-642.82507262832621</v>
      </c>
      <c r="I210" s="12">
        <f t="shared" si="60"/>
        <v>-2227.0187364270155</v>
      </c>
      <c r="J210" s="12">
        <f t="shared" si="55"/>
        <v>210.5627957497386</v>
      </c>
      <c r="K210" s="12"/>
      <c r="L210" s="11">
        <f t="shared" si="61"/>
        <v>1909.6611818618114</v>
      </c>
      <c r="M210" s="11">
        <f t="shared" si="62"/>
        <v>792.09683189934469</v>
      </c>
      <c r="N210" s="11">
        <f t="shared" si="63"/>
        <v>1117.5643499624666</v>
      </c>
      <c r="O210" s="11">
        <f t="shared" si="64"/>
        <v>236511.48521984095</v>
      </c>
      <c r="P210" s="11">
        <f t="shared" si="65"/>
        <v>696451.86633621552</v>
      </c>
      <c r="Q210" s="11">
        <f t="shared" si="66"/>
        <v>459940.38111637457</v>
      </c>
      <c r="R210" s="11">
        <f t="shared" si="67"/>
        <v>-865.34144392274698</v>
      </c>
      <c r="S210" s="11">
        <f t="shared" si="68"/>
        <v>-1657.4382758220918</v>
      </c>
      <c r="T210" s="11">
        <f t="shared" si="56"/>
        <v>373.87966765853685</v>
      </c>
    </row>
    <row r="211" spans="1:20">
      <c r="A211">
        <v>201</v>
      </c>
      <c r="B211" s="12">
        <f t="shared" si="54"/>
        <v>3819.3223637236229</v>
      </c>
      <c r="C211" s="12">
        <f t="shared" si="69"/>
        <v>1576.7432347989397</v>
      </c>
      <c r="D211" s="12">
        <f t="shared" si="70"/>
        <v>2242.5791289246831</v>
      </c>
      <c r="E211" s="12">
        <f t="shared" si="71"/>
        <v>470780.3913107572</v>
      </c>
      <c r="F211" s="12">
        <f t="shared" si="57"/>
        <v>1395225.2388935518</v>
      </c>
      <c r="G211" s="12">
        <f t="shared" si="58"/>
        <v>924444.84758279449</v>
      </c>
      <c r="H211" s="12">
        <f t="shared" si="59"/>
        <v>-643.89644774937346</v>
      </c>
      <c r="I211" s="12">
        <f t="shared" si="60"/>
        <v>-2220.6396825483134</v>
      </c>
      <c r="J211" s="12">
        <f t="shared" si="55"/>
        <v>221.00448551540194</v>
      </c>
      <c r="K211" s="12"/>
      <c r="L211" s="11">
        <f t="shared" si="61"/>
        <v>1909.6611818618114</v>
      </c>
      <c r="M211" s="11">
        <f t="shared" si="62"/>
        <v>788.37161739946987</v>
      </c>
      <c r="N211" s="11">
        <f t="shared" si="63"/>
        <v>1121.2895644623416</v>
      </c>
      <c r="O211" s="11">
        <f t="shared" si="64"/>
        <v>235390.1956553786</v>
      </c>
      <c r="P211" s="11">
        <f t="shared" si="65"/>
        <v>697612.61944677588</v>
      </c>
      <c r="Q211" s="11">
        <f t="shared" si="66"/>
        <v>462222.42379139725</v>
      </c>
      <c r="R211" s="11">
        <f t="shared" si="67"/>
        <v>-866.78367966261828</v>
      </c>
      <c r="S211" s="11">
        <f t="shared" si="68"/>
        <v>-1655.1552970620883</v>
      </c>
      <c r="T211" s="11">
        <f t="shared" si="56"/>
        <v>379.54817632434151</v>
      </c>
    </row>
    <row r="212" spans="1:20">
      <c r="A212">
        <v>202</v>
      </c>
      <c r="B212" s="12">
        <f t="shared" si="54"/>
        <v>3819.3223637236229</v>
      </c>
      <c r="C212" s="12">
        <f t="shared" si="69"/>
        <v>1569.2679710358573</v>
      </c>
      <c r="D212" s="12">
        <f t="shared" si="70"/>
        <v>2250.0543926877654</v>
      </c>
      <c r="E212" s="12">
        <f t="shared" si="71"/>
        <v>468530.33691806946</v>
      </c>
      <c r="F212" s="12">
        <f t="shared" si="57"/>
        <v>1397550.6142917078</v>
      </c>
      <c r="G212" s="12">
        <f t="shared" si="58"/>
        <v>929020.27737363824</v>
      </c>
      <c r="H212" s="12">
        <f t="shared" si="59"/>
        <v>-644.96960849562242</v>
      </c>
      <c r="I212" s="12">
        <f t="shared" si="60"/>
        <v>-2214.2375795314797</v>
      </c>
      <c r="J212" s="12">
        <f t="shared" si="55"/>
        <v>231.47599547900836</v>
      </c>
      <c r="K212" s="12"/>
      <c r="L212" s="11">
        <f t="shared" si="61"/>
        <v>1909.6611818618114</v>
      </c>
      <c r="M212" s="11">
        <f t="shared" si="62"/>
        <v>784.63398551792864</v>
      </c>
      <c r="N212" s="11">
        <f t="shared" si="63"/>
        <v>1125.0271963438827</v>
      </c>
      <c r="O212" s="11">
        <f t="shared" si="64"/>
        <v>234265.16845903473</v>
      </c>
      <c r="P212" s="11">
        <f t="shared" si="65"/>
        <v>698775.30714585388</v>
      </c>
      <c r="Q212" s="11">
        <f t="shared" si="66"/>
        <v>464510.13868681912</v>
      </c>
      <c r="R212" s="11">
        <f t="shared" si="67"/>
        <v>-868.22831912872266</v>
      </c>
      <c r="S212" s="11">
        <f t="shared" si="68"/>
        <v>-1652.8623046466514</v>
      </c>
      <c r="T212" s="11">
        <f t="shared" si="56"/>
        <v>385.23234119542235</v>
      </c>
    </row>
    <row r="213" spans="1:20">
      <c r="A213">
        <v>203</v>
      </c>
      <c r="B213" s="12">
        <f t="shared" si="54"/>
        <v>3819.3223637236229</v>
      </c>
      <c r="C213" s="12">
        <f t="shared" si="69"/>
        <v>1561.7677897268984</v>
      </c>
      <c r="D213" s="12">
        <f t="shared" si="70"/>
        <v>2257.5545739967247</v>
      </c>
      <c r="E213" s="12">
        <f t="shared" si="71"/>
        <v>466272.78234407271</v>
      </c>
      <c r="F213" s="12">
        <f t="shared" si="57"/>
        <v>1399879.8653155274</v>
      </c>
      <c r="G213" s="12">
        <f t="shared" si="58"/>
        <v>933607.08297145471</v>
      </c>
      <c r="H213" s="12">
        <f t="shared" si="59"/>
        <v>-646.04455784311517</v>
      </c>
      <c r="I213" s="12">
        <f t="shared" si="60"/>
        <v>-2207.8123475700136</v>
      </c>
      <c r="J213" s="12">
        <f t="shared" si="55"/>
        <v>241.97741673215933</v>
      </c>
      <c r="K213" s="12"/>
      <c r="L213" s="11">
        <f t="shared" si="61"/>
        <v>1909.6611818618114</v>
      </c>
      <c r="M213" s="11">
        <f t="shared" si="62"/>
        <v>780.8838948634492</v>
      </c>
      <c r="N213" s="11">
        <f t="shared" si="63"/>
        <v>1128.7772869983623</v>
      </c>
      <c r="O213" s="11">
        <f t="shared" si="64"/>
        <v>233136.39117203635</v>
      </c>
      <c r="P213" s="11">
        <f t="shared" si="65"/>
        <v>699939.93265776371</v>
      </c>
      <c r="Q213" s="11">
        <f t="shared" si="66"/>
        <v>466803.54148572736</v>
      </c>
      <c r="R213" s="11">
        <f t="shared" si="67"/>
        <v>-869.67536632727058</v>
      </c>
      <c r="S213" s="11">
        <f t="shared" si="68"/>
        <v>-1650.5592611907198</v>
      </c>
      <c r="T213" s="11">
        <f t="shared" si="56"/>
        <v>390.93220906109082</v>
      </c>
    </row>
    <row r="214" spans="1:20">
      <c r="A214">
        <v>204</v>
      </c>
      <c r="B214" s="12">
        <f t="shared" si="54"/>
        <v>3819.3223637236229</v>
      </c>
      <c r="C214" s="12">
        <f t="shared" si="69"/>
        <v>1554.2426078135757</v>
      </c>
      <c r="D214" s="12">
        <f t="shared" si="70"/>
        <v>2265.0797559100474</v>
      </c>
      <c r="E214" s="12">
        <f t="shared" si="71"/>
        <v>464007.70258816268</v>
      </c>
      <c r="F214" s="12">
        <f t="shared" si="57"/>
        <v>1402212.9984243866</v>
      </c>
      <c r="G214" s="12">
        <f t="shared" si="58"/>
        <v>938205.29583622399</v>
      </c>
      <c r="H214" s="12">
        <f t="shared" si="59"/>
        <v>-647.12129877285372</v>
      </c>
      <c r="I214" s="12">
        <f t="shared" si="60"/>
        <v>-2201.3639065864295</v>
      </c>
      <c r="J214" s="12">
        <f t="shared" si="55"/>
        <v>252.50884065624678</v>
      </c>
      <c r="K214" s="12"/>
      <c r="L214" s="11">
        <f t="shared" si="61"/>
        <v>1909.6611818618114</v>
      </c>
      <c r="M214" s="11">
        <f t="shared" si="62"/>
        <v>777.12130390678783</v>
      </c>
      <c r="N214" s="11">
        <f t="shared" si="63"/>
        <v>1132.5398779550237</v>
      </c>
      <c r="O214" s="11">
        <f t="shared" si="64"/>
        <v>232003.85129408134</v>
      </c>
      <c r="P214" s="11">
        <f t="shared" si="65"/>
        <v>701106.4992121933</v>
      </c>
      <c r="Q214" s="11">
        <f t="shared" si="66"/>
        <v>469102.64791811199</v>
      </c>
      <c r="R214" s="11">
        <f t="shared" si="67"/>
        <v>-871.12482527114935</v>
      </c>
      <c r="S214" s="11">
        <f t="shared" si="68"/>
        <v>-1648.2461291779373</v>
      </c>
      <c r="T214" s="11">
        <f t="shared" si="56"/>
        <v>396.64782685762657</v>
      </c>
    </row>
    <row r="215" spans="1:20">
      <c r="A215">
        <v>205</v>
      </c>
      <c r="B215" s="12">
        <f t="shared" si="54"/>
        <v>3819.3223637236229</v>
      </c>
      <c r="C215" s="12">
        <f t="shared" si="69"/>
        <v>1546.6923419605421</v>
      </c>
      <c r="D215" s="12">
        <f t="shared" si="70"/>
        <v>2272.6300217630805</v>
      </c>
      <c r="E215" s="12">
        <f t="shared" si="71"/>
        <v>461735.07256639958</v>
      </c>
      <c r="F215" s="12">
        <f t="shared" si="57"/>
        <v>1404550.0200884272</v>
      </c>
      <c r="G215" s="12">
        <f t="shared" si="58"/>
        <v>942814.94752202765</v>
      </c>
      <c r="H215" s="12">
        <f t="shared" si="59"/>
        <v>-648.19983427080854</v>
      </c>
      <c r="I215" s="12">
        <f t="shared" si="60"/>
        <v>-2194.8921762313507</v>
      </c>
      <c r="J215" s="12">
        <f t="shared" si="55"/>
        <v>263.07035892339673</v>
      </c>
      <c r="K215" s="12"/>
      <c r="L215" s="11">
        <f t="shared" si="61"/>
        <v>1909.6611818618114</v>
      </c>
      <c r="M215" s="11">
        <f t="shared" si="62"/>
        <v>773.34617098027104</v>
      </c>
      <c r="N215" s="11">
        <f t="shared" si="63"/>
        <v>1136.3150108815403</v>
      </c>
      <c r="O215" s="11">
        <f t="shared" si="64"/>
        <v>230867.53628319979</v>
      </c>
      <c r="P215" s="11">
        <f t="shared" si="65"/>
        <v>702275.01004421362</v>
      </c>
      <c r="Q215" s="11">
        <f t="shared" si="66"/>
        <v>471407.47376101383</v>
      </c>
      <c r="R215" s="11">
        <f t="shared" si="67"/>
        <v>-872.57669997993457</v>
      </c>
      <c r="S215" s="11">
        <f t="shared" si="68"/>
        <v>-1645.9228709602057</v>
      </c>
      <c r="T215" s="11">
        <f t="shared" si="56"/>
        <v>402.37924166875064</v>
      </c>
    </row>
    <row r="216" spans="1:20">
      <c r="A216">
        <v>206</v>
      </c>
      <c r="B216" s="12">
        <f t="shared" si="54"/>
        <v>3819.3223637236229</v>
      </c>
      <c r="C216" s="12">
        <f t="shared" si="69"/>
        <v>1539.1169085546653</v>
      </c>
      <c r="D216" s="12">
        <f t="shared" si="70"/>
        <v>2280.2054551689575</v>
      </c>
      <c r="E216" s="12">
        <f t="shared" si="71"/>
        <v>459454.86711123062</v>
      </c>
      <c r="F216" s="12">
        <f t="shared" si="57"/>
        <v>1406890.9367885746</v>
      </c>
      <c r="G216" s="12">
        <f t="shared" si="58"/>
        <v>947436.06967734394</v>
      </c>
      <c r="H216" s="12">
        <f t="shared" si="59"/>
        <v>-649.28016732792662</v>
      </c>
      <c r="I216" s="12">
        <f t="shared" si="60"/>
        <v>-2188.3970758825917</v>
      </c>
      <c r="J216" s="12">
        <f t="shared" si="55"/>
        <v>273.66206349741378</v>
      </c>
      <c r="K216" s="12"/>
      <c r="L216" s="11">
        <f t="shared" si="61"/>
        <v>1909.6611818618114</v>
      </c>
      <c r="M216" s="11">
        <f t="shared" si="62"/>
        <v>769.55845427733266</v>
      </c>
      <c r="N216" s="11">
        <f t="shared" si="63"/>
        <v>1140.1027275844788</v>
      </c>
      <c r="O216" s="11">
        <f t="shared" si="64"/>
        <v>229727.43355561531</v>
      </c>
      <c r="P216" s="11">
        <f t="shared" si="65"/>
        <v>703445.46839428728</v>
      </c>
      <c r="Q216" s="11">
        <f t="shared" si="66"/>
        <v>473718.03483867197</v>
      </c>
      <c r="R216" s="11">
        <f t="shared" si="67"/>
        <v>-874.03099447990121</v>
      </c>
      <c r="S216" s="11">
        <f t="shared" si="68"/>
        <v>-1643.5894487572339</v>
      </c>
      <c r="T216" s="11">
        <f t="shared" si="56"/>
        <v>408.12650072610427</v>
      </c>
    </row>
    <row r="217" spans="1:20">
      <c r="A217">
        <v>207</v>
      </c>
      <c r="B217" s="12">
        <f t="shared" si="54"/>
        <v>3819.3223637236229</v>
      </c>
      <c r="C217" s="12">
        <f t="shared" si="69"/>
        <v>1531.5162237041022</v>
      </c>
      <c r="D217" s="12">
        <f t="shared" si="70"/>
        <v>2287.8061400195206</v>
      </c>
      <c r="E217" s="12">
        <f t="shared" si="71"/>
        <v>457167.06097121112</v>
      </c>
      <c r="F217" s="12">
        <f t="shared" si="57"/>
        <v>1409235.7550165555</v>
      </c>
      <c r="G217" s="12">
        <f t="shared" si="58"/>
        <v>952068.69404534437</v>
      </c>
      <c r="H217" s="12">
        <f t="shared" si="59"/>
        <v>-650.3623009401399</v>
      </c>
      <c r="I217" s="12">
        <f t="shared" si="60"/>
        <v>-2181.8785246442421</v>
      </c>
      <c r="J217" s="12">
        <f t="shared" si="55"/>
        <v>284.2840466347302</v>
      </c>
      <c r="K217" s="12"/>
      <c r="L217" s="11">
        <f t="shared" si="61"/>
        <v>1909.6611818618114</v>
      </c>
      <c r="M217" s="11">
        <f t="shared" si="62"/>
        <v>765.75811185205112</v>
      </c>
      <c r="N217" s="11">
        <f t="shared" si="63"/>
        <v>1143.9030700097603</v>
      </c>
      <c r="O217" s="11">
        <f t="shared" si="64"/>
        <v>228583.53048560556</v>
      </c>
      <c r="P217" s="11">
        <f t="shared" si="65"/>
        <v>704617.87750827777</v>
      </c>
      <c r="Q217" s="11">
        <f t="shared" si="66"/>
        <v>476034.34702267218</v>
      </c>
      <c r="R217" s="11">
        <f t="shared" si="67"/>
        <v>-875.48771280403446</v>
      </c>
      <c r="S217" s="11">
        <f t="shared" si="68"/>
        <v>-1641.2458246560855</v>
      </c>
      <c r="T217" s="11">
        <f t="shared" si="56"/>
        <v>413.88965140972459</v>
      </c>
    </row>
    <row r="218" spans="1:20">
      <c r="A218">
        <v>208</v>
      </c>
      <c r="B218" s="12">
        <f t="shared" si="54"/>
        <v>3819.3223637236229</v>
      </c>
      <c r="C218" s="12">
        <f t="shared" si="69"/>
        <v>1523.8902032373705</v>
      </c>
      <c r="D218" s="12">
        <f t="shared" si="70"/>
        <v>2295.4321604862525</v>
      </c>
      <c r="E218" s="12">
        <f t="shared" si="71"/>
        <v>454871.62881072488</v>
      </c>
      <c r="F218" s="12">
        <f t="shared" si="57"/>
        <v>1411584.4812749166</v>
      </c>
      <c r="G218" s="12">
        <f t="shared" si="58"/>
        <v>956712.85246419162</v>
      </c>
      <c r="H218" s="12">
        <f t="shared" si="59"/>
        <v>-651.44623810837345</v>
      </c>
      <c r="I218" s="12">
        <f t="shared" si="60"/>
        <v>-2175.3364413457439</v>
      </c>
      <c r="J218" s="12">
        <f t="shared" si="55"/>
        <v>294.93640088535994</v>
      </c>
      <c r="K218" s="12"/>
      <c r="L218" s="11">
        <f t="shared" si="61"/>
        <v>1909.6611818618114</v>
      </c>
      <c r="M218" s="11">
        <f t="shared" si="62"/>
        <v>761.94510161868527</v>
      </c>
      <c r="N218" s="11">
        <f t="shared" si="63"/>
        <v>1147.7160802431263</v>
      </c>
      <c r="O218" s="11">
        <f t="shared" si="64"/>
        <v>227435.81440536244</v>
      </c>
      <c r="P218" s="11">
        <f t="shared" si="65"/>
        <v>705792.24063745828</v>
      </c>
      <c r="Q218" s="11">
        <f t="shared" si="66"/>
        <v>478356.42623209581</v>
      </c>
      <c r="R218" s="11">
        <f t="shared" si="67"/>
        <v>-876.94685899204126</v>
      </c>
      <c r="S218" s="11">
        <f t="shared" si="68"/>
        <v>-1638.8919606107265</v>
      </c>
      <c r="T218" s="11">
        <f t="shared" si="56"/>
        <v>419.66874124852666</v>
      </c>
    </row>
    <row r="219" spans="1:20">
      <c r="A219">
        <v>209</v>
      </c>
      <c r="B219" s="12">
        <f t="shared" si="54"/>
        <v>3819.3223637236229</v>
      </c>
      <c r="C219" s="12">
        <f t="shared" si="69"/>
        <v>1516.2387627024164</v>
      </c>
      <c r="D219" s="12">
        <f t="shared" si="70"/>
        <v>2303.0836010212065</v>
      </c>
      <c r="E219" s="12">
        <f t="shared" si="71"/>
        <v>452568.54520970368</v>
      </c>
      <c r="F219" s="12">
        <f t="shared" si="57"/>
        <v>1413937.1220770415</v>
      </c>
      <c r="G219" s="12">
        <f t="shared" si="58"/>
        <v>961368.5768673378</v>
      </c>
      <c r="H219" s="12">
        <f t="shared" si="59"/>
        <v>-652.53198183855409</v>
      </c>
      <c r="I219" s="12">
        <f t="shared" si="60"/>
        <v>-2168.7707445409706</v>
      </c>
      <c r="J219" s="12">
        <f t="shared" si="55"/>
        <v>305.61921909385183</v>
      </c>
      <c r="K219" s="12"/>
      <c r="L219" s="11">
        <f t="shared" si="61"/>
        <v>1909.6611818618114</v>
      </c>
      <c r="M219" s="11">
        <f t="shared" si="62"/>
        <v>758.11938135120818</v>
      </c>
      <c r="N219" s="11">
        <f t="shared" si="63"/>
        <v>1151.5418005106033</v>
      </c>
      <c r="O219" s="11">
        <f t="shared" si="64"/>
        <v>226284.27260485184</v>
      </c>
      <c r="P219" s="11">
        <f t="shared" si="65"/>
        <v>706968.56103852077</v>
      </c>
      <c r="Q219" s="11">
        <f t="shared" si="66"/>
        <v>480684.2884336689</v>
      </c>
      <c r="R219" s="11">
        <f t="shared" si="67"/>
        <v>-878.4084370903613</v>
      </c>
      <c r="S219" s="11">
        <f t="shared" si="68"/>
        <v>-1636.5278184415695</v>
      </c>
      <c r="T219" s="11">
        <f t="shared" si="56"/>
        <v>425.46381792078296</v>
      </c>
    </row>
    <row r="220" spans="1:20">
      <c r="A220">
        <v>210</v>
      </c>
      <c r="B220" s="12">
        <f t="shared" si="54"/>
        <v>3819.3223637236229</v>
      </c>
      <c r="C220" s="12">
        <f t="shared" si="69"/>
        <v>1508.5618173656787</v>
      </c>
      <c r="D220" s="12">
        <f t="shared" si="70"/>
        <v>2310.7605463579439</v>
      </c>
      <c r="E220" s="12">
        <f t="shared" si="71"/>
        <v>450257.78466334572</v>
      </c>
      <c r="F220" s="12">
        <f t="shared" si="57"/>
        <v>1416293.6839471699</v>
      </c>
      <c r="G220" s="12">
        <f t="shared" si="58"/>
        <v>966035.89928382426</v>
      </c>
      <c r="H220" s="12">
        <f t="shared" si="59"/>
        <v>-653.61953514161837</v>
      </c>
      <c r="I220" s="12">
        <f t="shared" si="60"/>
        <v>-2162.1813525072971</v>
      </c>
      <c r="J220" s="12">
        <f t="shared" si="55"/>
        <v>316.3325944002504</v>
      </c>
      <c r="K220" s="12"/>
      <c r="L220" s="11">
        <f t="shared" si="61"/>
        <v>1909.6611818618114</v>
      </c>
      <c r="M220" s="11">
        <f t="shared" si="62"/>
        <v>754.28090868283937</v>
      </c>
      <c r="N220" s="11">
        <f t="shared" si="63"/>
        <v>1155.3802731789719</v>
      </c>
      <c r="O220" s="11">
        <f t="shared" si="64"/>
        <v>225128.89233167286</v>
      </c>
      <c r="P220" s="11">
        <f t="shared" si="65"/>
        <v>708146.84197358496</v>
      </c>
      <c r="Q220" s="11">
        <f t="shared" si="66"/>
        <v>483017.94964191213</v>
      </c>
      <c r="R220" s="11">
        <f t="shared" si="67"/>
        <v>-879.87245115217866</v>
      </c>
      <c r="S220" s="11">
        <f t="shared" si="68"/>
        <v>-1634.1533598350179</v>
      </c>
      <c r="T220" s="11">
        <f t="shared" si="56"/>
        <v>431.27492925460456</v>
      </c>
    </row>
    <row r="221" spans="1:20">
      <c r="A221">
        <v>211</v>
      </c>
      <c r="B221" s="12">
        <f t="shared" si="54"/>
        <v>3819.3223637236229</v>
      </c>
      <c r="C221" s="12">
        <f t="shared" si="69"/>
        <v>1500.8592822111525</v>
      </c>
      <c r="D221" s="12">
        <f t="shared" si="70"/>
        <v>2318.4630815124701</v>
      </c>
      <c r="E221" s="12">
        <f t="shared" si="71"/>
        <v>447939.32158183324</v>
      </c>
      <c r="F221" s="12">
        <f t="shared" si="57"/>
        <v>1418654.1734204153</v>
      </c>
      <c r="G221" s="12">
        <f t="shared" si="58"/>
        <v>970714.85183858196</v>
      </c>
      <c r="H221" s="12">
        <f t="shared" si="59"/>
        <v>-654.7089010335211</v>
      </c>
      <c r="I221" s="12">
        <f t="shared" si="60"/>
        <v>-2155.5681832446735</v>
      </c>
      <c r="J221" s="12">
        <f t="shared" si="55"/>
        <v>327.07662024105321</v>
      </c>
      <c r="K221" s="12"/>
      <c r="L221" s="11">
        <f t="shared" si="61"/>
        <v>1909.6611818618114</v>
      </c>
      <c r="M221" s="11">
        <f t="shared" si="62"/>
        <v>750.42964110557625</v>
      </c>
      <c r="N221" s="11">
        <f t="shared" si="63"/>
        <v>1159.2315407562351</v>
      </c>
      <c r="O221" s="11">
        <f t="shared" si="64"/>
        <v>223969.66079091662</v>
      </c>
      <c r="P221" s="11">
        <f t="shared" si="65"/>
        <v>709327.08671020763</v>
      </c>
      <c r="Q221" s="11">
        <f t="shared" si="66"/>
        <v>485357.42591929098</v>
      </c>
      <c r="R221" s="11">
        <f t="shared" si="67"/>
        <v>-881.3389052374323</v>
      </c>
      <c r="S221" s="11">
        <f t="shared" si="68"/>
        <v>-1631.7685463430084</v>
      </c>
      <c r="T221" s="11">
        <f t="shared" si="56"/>
        <v>437.10212322843063</v>
      </c>
    </row>
    <row r="222" spans="1:20">
      <c r="A222">
        <v>212</v>
      </c>
      <c r="B222" s="12">
        <f t="shared" si="54"/>
        <v>3819.3223637236229</v>
      </c>
      <c r="C222" s="12">
        <f t="shared" si="69"/>
        <v>1493.1310719394442</v>
      </c>
      <c r="D222" s="12">
        <f t="shared" si="70"/>
        <v>2326.1912917841787</v>
      </c>
      <c r="E222" s="12">
        <f t="shared" si="71"/>
        <v>445613.13029004907</v>
      </c>
      <c r="F222" s="12">
        <f t="shared" si="57"/>
        <v>1421018.5970427827</v>
      </c>
      <c r="G222" s="12">
        <f t="shared" si="58"/>
        <v>975405.46675273357</v>
      </c>
      <c r="H222" s="12">
        <f t="shared" si="59"/>
        <v>-655.80008253524363</v>
      </c>
      <c r="I222" s="12">
        <f t="shared" si="60"/>
        <v>-2148.9311544746879</v>
      </c>
      <c r="J222" s="12">
        <f t="shared" si="55"/>
        <v>337.85139035018165</v>
      </c>
      <c r="K222" s="12"/>
      <c r="L222" s="11">
        <f t="shared" si="61"/>
        <v>1909.6611818618114</v>
      </c>
      <c r="M222" s="11">
        <f t="shared" si="62"/>
        <v>746.56553596972208</v>
      </c>
      <c r="N222" s="11">
        <f t="shared" si="63"/>
        <v>1163.0956458920894</v>
      </c>
      <c r="O222" s="11">
        <f t="shared" si="64"/>
        <v>222806.56514502454</v>
      </c>
      <c r="P222" s="11">
        <f t="shared" si="65"/>
        <v>710509.29852139135</v>
      </c>
      <c r="Q222" s="11">
        <f t="shared" si="66"/>
        <v>487702.73337636678</v>
      </c>
      <c r="R222" s="11">
        <f t="shared" si="67"/>
        <v>-882.80780341282809</v>
      </c>
      <c r="S222" s="11">
        <f t="shared" si="68"/>
        <v>-1629.3733393825501</v>
      </c>
      <c r="T222" s="11">
        <f t="shared" si="56"/>
        <v>442.94544797150775</v>
      </c>
    </row>
    <row r="223" spans="1:20">
      <c r="A223">
        <v>213</v>
      </c>
      <c r="B223" s="12">
        <f t="shared" si="54"/>
        <v>3819.3223637236229</v>
      </c>
      <c r="C223" s="12">
        <f t="shared" si="69"/>
        <v>1485.3771009668301</v>
      </c>
      <c r="D223" s="12">
        <f t="shared" si="70"/>
        <v>2333.9452627567925</v>
      </c>
      <c r="E223" s="12">
        <f t="shared" si="71"/>
        <v>443279.18502729229</v>
      </c>
      <c r="F223" s="12">
        <f t="shared" si="57"/>
        <v>1423386.9613711874</v>
      </c>
      <c r="G223" s="12">
        <f t="shared" si="58"/>
        <v>980107.77634389512</v>
      </c>
      <c r="H223" s="12">
        <f t="shared" si="59"/>
        <v>-656.89308267280239</v>
      </c>
      <c r="I223" s="12">
        <f t="shared" si="60"/>
        <v>-2142.2701836396327</v>
      </c>
      <c r="J223" s="12">
        <f t="shared" si="55"/>
        <v>348.65699875994505</v>
      </c>
      <c r="K223" s="12"/>
      <c r="L223" s="11">
        <f t="shared" si="61"/>
        <v>1909.6611818618114</v>
      </c>
      <c r="M223" s="11">
        <f t="shared" si="62"/>
        <v>742.68855048341504</v>
      </c>
      <c r="N223" s="11">
        <f t="shared" si="63"/>
        <v>1166.9726313783963</v>
      </c>
      <c r="O223" s="11">
        <f t="shared" si="64"/>
        <v>221639.59251364614</v>
      </c>
      <c r="P223" s="11">
        <f t="shared" si="65"/>
        <v>711693.48068559368</v>
      </c>
      <c r="Q223" s="11">
        <f t="shared" si="66"/>
        <v>490053.88817194756</v>
      </c>
      <c r="R223" s="11">
        <f t="shared" si="67"/>
        <v>-884.27914975184956</v>
      </c>
      <c r="S223" s="11">
        <f t="shared" si="68"/>
        <v>-1626.9677002352646</v>
      </c>
      <c r="T223" s="11">
        <f t="shared" si="56"/>
        <v>448.80495176438353</v>
      </c>
    </row>
    <row r="224" spans="1:20">
      <c r="A224">
        <v>214</v>
      </c>
      <c r="B224" s="12">
        <f t="shared" si="54"/>
        <v>3819.3223637236229</v>
      </c>
      <c r="C224" s="12">
        <f t="shared" si="69"/>
        <v>1477.5972834243075</v>
      </c>
      <c r="D224" s="12">
        <f t="shared" si="70"/>
        <v>2341.7250802993153</v>
      </c>
      <c r="E224" s="12">
        <f t="shared" si="71"/>
        <v>440937.45994699298</v>
      </c>
      <c r="F224" s="12">
        <f t="shared" si="57"/>
        <v>1425759.2729734727</v>
      </c>
      <c r="G224" s="12">
        <f t="shared" si="58"/>
        <v>984821.81302647968</v>
      </c>
      <c r="H224" s="12">
        <f t="shared" si="59"/>
        <v>-657.98790447725708</v>
      </c>
      <c r="I224" s="12">
        <f t="shared" si="60"/>
        <v>-2135.5851879015645</v>
      </c>
      <c r="J224" s="12">
        <f t="shared" si="55"/>
        <v>359.49353980201295</v>
      </c>
      <c r="K224" s="12"/>
      <c r="L224" s="11">
        <f t="shared" si="61"/>
        <v>1909.6611818618114</v>
      </c>
      <c r="M224" s="11">
        <f t="shared" si="62"/>
        <v>738.79864171215377</v>
      </c>
      <c r="N224" s="11">
        <f t="shared" si="63"/>
        <v>1170.8625401496577</v>
      </c>
      <c r="O224" s="11">
        <f t="shared" si="64"/>
        <v>220468.72997349649</v>
      </c>
      <c r="P224" s="11">
        <f t="shared" si="65"/>
        <v>712879.63648673636</v>
      </c>
      <c r="Q224" s="11">
        <f t="shared" si="66"/>
        <v>492410.90651323984</v>
      </c>
      <c r="R224" s="11">
        <f t="shared" si="67"/>
        <v>-885.75294833476937</v>
      </c>
      <c r="S224" s="11">
        <f t="shared" si="68"/>
        <v>-1624.5515900469231</v>
      </c>
      <c r="T224" s="11">
        <f t="shared" si="56"/>
        <v>454.68068303939117</v>
      </c>
    </row>
    <row r="225" spans="1:20">
      <c r="A225">
        <v>215</v>
      </c>
      <c r="B225" s="12">
        <f t="shared" si="54"/>
        <v>3819.3223637236229</v>
      </c>
      <c r="C225" s="12">
        <f t="shared" si="69"/>
        <v>1469.7915331566435</v>
      </c>
      <c r="D225" s="12">
        <f t="shared" si="70"/>
        <v>2349.5308305669796</v>
      </c>
      <c r="E225" s="12">
        <f t="shared" si="71"/>
        <v>438587.92911642598</v>
      </c>
      <c r="F225" s="12">
        <f t="shared" si="57"/>
        <v>1428135.5384284286</v>
      </c>
      <c r="G225" s="12">
        <f t="shared" si="58"/>
        <v>989547.60931200255</v>
      </c>
      <c r="H225" s="12">
        <f t="shared" si="59"/>
        <v>-659.08455098471916</v>
      </c>
      <c r="I225" s="12">
        <f t="shared" si="60"/>
        <v>-2128.8760841413628</v>
      </c>
      <c r="J225" s="12">
        <f t="shared" si="55"/>
        <v>370.36110810838727</v>
      </c>
      <c r="K225" s="12"/>
      <c r="L225" s="11">
        <f t="shared" si="61"/>
        <v>1909.6611818618114</v>
      </c>
      <c r="M225" s="11">
        <f t="shared" si="62"/>
        <v>734.89576657832174</v>
      </c>
      <c r="N225" s="11">
        <f t="shared" si="63"/>
        <v>1174.7654152834898</v>
      </c>
      <c r="O225" s="11">
        <f t="shared" si="64"/>
        <v>219293.96455821299</v>
      </c>
      <c r="P225" s="11">
        <f t="shared" si="65"/>
        <v>714067.76921421429</v>
      </c>
      <c r="Q225" s="11">
        <f t="shared" si="66"/>
        <v>494773.80465600127</v>
      </c>
      <c r="R225" s="11">
        <f t="shared" si="67"/>
        <v>-887.22920324866072</v>
      </c>
      <c r="S225" s="11">
        <f t="shared" si="68"/>
        <v>-1622.1249698269826</v>
      </c>
      <c r="T225" s="11">
        <f t="shared" si="56"/>
        <v>460.57269038114237</v>
      </c>
    </row>
    <row r="226" spans="1:20">
      <c r="A226">
        <v>216</v>
      </c>
      <c r="B226" s="12">
        <f t="shared" si="54"/>
        <v>3819.3223637236229</v>
      </c>
      <c r="C226" s="12">
        <f t="shared" si="69"/>
        <v>1461.9597637214199</v>
      </c>
      <c r="D226" s="12">
        <f t="shared" si="70"/>
        <v>2357.3626000022032</v>
      </c>
      <c r="E226" s="12">
        <f t="shared" si="71"/>
        <v>436230.56651642377</v>
      </c>
      <c r="F226" s="12">
        <f t="shared" si="57"/>
        <v>1430515.7643258094</v>
      </c>
      <c r="G226" s="12">
        <f t="shared" si="58"/>
        <v>994285.1978093856</v>
      </c>
      <c r="H226" s="12">
        <f t="shared" si="59"/>
        <v>-660.18302523636044</v>
      </c>
      <c r="I226" s="12">
        <f t="shared" si="60"/>
        <v>-2122.1427889577803</v>
      </c>
      <c r="J226" s="12">
        <f t="shared" si="55"/>
        <v>381.25979861238602</v>
      </c>
      <c r="K226" s="12"/>
      <c r="L226" s="11">
        <f t="shared" si="61"/>
        <v>1909.6611818618114</v>
      </c>
      <c r="M226" s="11">
        <f t="shared" si="62"/>
        <v>730.97988186070995</v>
      </c>
      <c r="N226" s="11">
        <f t="shared" si="63"/>
        <v>1178.6813000011016</v>
      </c>
      <c r="O226" s="11">
        <f t="shared" si="64"/>
        <v>218115.28325821189</v>
      </c>
      <c r="P226" s="11">
        <f t="shared" si="65"/>
        <v>715257.88216290472</v>
      </c>
      <c r="Q226" s="11">
        <f t="shared" si="66"/>
        <v>497142.5989046928</v>
      </c>
      <c r="R226" s="11">
        <f t="shared" si="67"/>
        <v>-888.70791858740847</v>
      </c>
      <c r="S226" s="11">
        <f t="shared" si="68"/>
        <v>-1619.6878004481184</v>
      </c>
      <c r="T226" s="11">
        <f t="shared" si="56"/>
        <v>466.48102252702006</v>
      </c>
    </row>
    <row r="227" spans="1:20">
      <c r="A227">
        <v>217</v>
      </c>
      <c r="B227" s="12">
        <f t="shared" si="54"/>
        <v>3819.3223637236229</v>
      </c>
      <c r="C227" s="12">
        <f t="shared" si="69"/>
        <v>1454.1018883880795</v>
      </c>
      <c r="D227" s="12">
        <f t="shared" si="70"/>
        <v>2365.2204753355436</v>
      </c>
      <c r="E227" s="12">
        <f t="shared" si="71"/>
        <v>433865.34604108823</v>
      </c>
      <c r="F227" s="12">
        <f t="shared" si="57"/>
        <v>1432899.9572663526</v>
      </c>
      <c r="G227" s="12">
        <f t="shared" si="58"/>
        <v>999034.61122526438</v>
      </c>
      <c r="H227" s="12">
        <f t="shared" si="59"/>
        <v>-661.28333027842109</v>
      </c>
      <c r="I227" s="12">
        <f t="shared" si="60"/>
        <v>-2115.3852186665008</v>
      </c>
      <c r="J227" s="12">
        <f t="shared" si="55"/>
        <v>392.18970654961595</v>
      </c>
      <c r="K227" s="12"/>
      <c r="L227" s="11">
        <f t="shared" si="61"/>
        <v>1909.6611818618114</v>
      </c>
      <c r="M227" s="11">
        <f t="shared" si="62"/>
        <v>727.05094419403974</v>
      </c>
      <c r="N227" s="11">
        <f t="shared" si="63"/>
        <v>1182.6102376677718</v>
      </c>
      <c r="O227" s="11">
        <f t="shared" si="64"/>
        <v>216932.67302054411</v>
      </c>
      <c r="P227" s="11">
        <f t="shared" si="65"/>
        <v>716449.9786331763</v>
      </c>
      <c r="Q227" s="11">
        <f t="shared" si="66"/>
        <v>499517.30561263219</v>
      </c>
      <c r="R227" s="11">
        <f t="shared" si="67"/>
        <v>-890.18909845172084</v>
      </c>
      <c r="S227" s="11">
        <f t="shared" si="68"/>
        <v>-1617.2400426457607</v>
      </c>
      <c r="T227" s="11">
        <f t="shared" si="56"/>
        <v>472.40572836767024</v>
      </c>
    </row>
    <row r="228" spans="1:20">
      <c r="A228">
        <v>218</v>
      </c>
      <c r="B228" s="12">
        <f t="shared" si="54"/>
        <v>3819.3223637236229</v>
      </c>
      <c r="C228" s="12">
        <f t="shared" si="69"/>
        <v>1446.2178201369607</v>
      </c>
      <c r="D228" s="12">
        <f t="shared" si="70"/>
        <v>2373.1045435866622</v>
      </c>
      <c r="E228" s="12">
        <f t="shared" si="71"/>
        <v>431492.24149750156</v>
      </c>
      <c r="F228" s="12">
        <f t="shared" si="57"/>
        <v>1435288.1238617967</v>
      </c>
      <c r="G228" s="12">
        <f t="shared" si="58"/>
        <v>1003795.8823642952</v>
      </c>
      <c r="H228" s="12">
        <f t="shared" si="59"/>
        <v>-662.38546916221844</v>
      </c>
      <c r="I228" s="12">
        <f t="shared" si="60"/>
        <v>-2108.6032892991789</v>
      </c>
      <c r="J228" s="12">
        <f t="shared" si="55"/>
        <v>403.15092745896482</v>
      </c>
      <c r="K228" s="12"/>
      <c r="L228" s="11">
        <f t="shared" si="61"/>
        <v>1909.6611818618114</v>
      </c>
      <c r="M228" s="11">
        <f t="shared" si="62"/>
        <v>723.10891006848033</v>
      </c>
      <c r="N228" s="11">
        <f t="shared" si="63"/>
        <v>1186.5522717933311</v>
      </c>
      <c r="O228" s="11">
        <f t="shared" si="64"/>
        <v>215746.12074875078</v>
      </c>
      <c r="P228" s="11">
        <f t="shared" si="65"/>
        <v>717644.06193089834</v>
      </c>
      <c r="Q228" s="11">
        <f t="shared" si="66"/>
        <v>501897.9411821476</v>
      </c>
      <c r="R228" s="11">
        <f t="shared" si="67"/>
        <v>-891.67274694914045</v>
      </c>
      <c r="S228" s="11">
        <f t="shared" si="68"/>
        <v>-1614.7816570176208</v>
      </c>
      <c r="T228" s="11">
        <f t="shared" si="56"/>
        <v>478.34685694749919</v>
      </c>
    </row>
    <row r="229" spans="1:20">
      <c r="A229">
        <v>219</v>
      </c>
      <c r="B229" s="12">
        <f t="shared" si="54"/>
        <v>3819.3223637236229</v>
      </c>
      <c r="C229" s="12">
        <f t="shared" si="69"/>
        <v>1438.3074716583385</v>
      </c>
      <c r="D229" s="12">
        <f t="shared" si="70"/>
        <v>2381.0148920652846</v>
      </c>
      <c r="E229" s="12">
        <f t="shared" si="71"/>
        <v>429111.2266054363</v>
      </c>
      <c r="F229" s="12">
        <f t="shared" si="57"/>
        <v>1437680.2707348997</v>
      </c>
      <c r="G229" s="12">
        <f t="shared" si="58"/>
        <v>1008569.0441294634</v>
      </c>
      <c r="H229" s="12">
        <f t="shared" si="59"/>
        <v>-663.48944494415548</v>
      </c>
      <c r="I229" s="12">
        <f t="shared" si="60"/>
        <v>-2101.7969166024941</v>
      </c>
      <c r="J229" s="12">
        <f t="shared" si="55"/>
        <v>414.14355718358001</v>
      </c>
      <c r="K229" s="12"/>
      <c r="L229" s="11">
        <f t="shared" si="61"/>
        <v>1909.6611818618114</v>
      </c>
      <c r="M229" s="11">
        <f t="shared" si="62"/>
        <v>719.15373582916925</v>
      </c>
      <c r="N229" s="11">
        <f t="shared" si="63"/>
        <v>1190.5074460326423</v>
      </c>
      <c r="O229" s="11">
        <f t="shared" si="64"/>
        <v>214555.61330271815</v>
      </c>
      <c r="P229" s="11">
        <f t="shared" si="65"/>
        <v>718840.13536744984</v>
      </c>
      <c r="Q229" s="11">
        <f t="shared" si="66"/>
        <v>504284.52206473169</v>
      </c>
      <c r="R229" s="11">
        <f t="shared" si="67"/>
        <v>-893.15886819405569</v>
      </c>
      <c r="S229" s="11">
        <f t="shared" si="68"/>
        <v>-1612.312604023225</v>
      </c>
      <c r="T229" s="11">
        <f t="shared" si="56"/>
        <v>484.30445746516989</v>
      </c>
    </row>
    <row r="230" spans="1:20">
      <c r="A230">
        <v>220</v>
      </c>
      <c r="B230" s="12">
        <f t="shared" si="54"/>
        <v>3819.3223637236229</v>
      </c>
      <c r="C230" s="12">
        <f t="shared" si="69"/>
        <v>1430.3707553514544</v>
      </c>
      <c r="D230" s="12">
        <f t="shared" si="70"/>
        <v>2388.9516083721683</v>
      </c>
      <c r="E230" s="12">
        <f t="shared" si="71"/>
        <v>426722.27499706415</v>
      </c>
      <c r="F230" s="12">
        <f t="shared" si="57"/>
        <v>1440076.4045194578</v>
      </c>
      <c r="G230" s="12">
        <f t="shared" si="58"/>
        <v>1013354.1295223937</v>
      </c>
      <c r="H230" s="12">
        <f t="shared" si="59"/>
        <v>-664.59526068572904</v>
      </c>
      <c r="I230" s="12">
        <f t="shared" si="60"/>
        <v>-2094.9660160371832</v>
      </c>
      <c r="J230" s="12">
        <f t="shared" si="55"/>
        <v>425.16769187186765</v>
      </c>
      <c r="K230" s="12"/>
      <c r="L230" s="11">
        <f t="shared" si="61"/>
        <v>1909.6611818618114</v>
      </c>
      <c r="M230" s="11">
        <f t="shared" si="62"/>
        <v>715.18537767572718</v>
      </c>
      <c r="N230" s="11">
        <f t="shared" si="63"/>
        <v>1194.4758041860841</v>
      </c>
      <c r="O230" s="11">
        <f t="shared" si="64"/>
        <v>213361.13749853207</v>
      </c>
      <c r="P230" s="11">
        <f t="shared" si="65"/>
        <v>720038.20225972892</v>
      </c>
      <c r="Q230" s="11">
        <f t="shared" si="66"/>
        <v>506677.06476119685</v>
      </c>
      <c r="R230" s="11">
        <f t="shared" si="67"/>
        <v>-894.64746630771253</v>
      </c>
      <c r="S230" s="11">
        <f t="shared" si="68"/>
        <v>-1609.8328439834397</v>
      </c>
      <c r="T230" s="11">
        <f t="shared" si="56"/>
        <v>490.27857927410309</v>
      </c>
    </row>
    <row r="231" spans="1:20">
      <c r="A231">
        <v>221</v>
      </c>
      <c r="B231" s="12">
        <f t="shared" si="54"/>
        <v>3819.3223637236229</v>
      </c>
      <c r="C231" s="12">
        <f t="shared" si="69"/>
        <v>1422.4075833235472</v>
      </c>
      <c r="D231" s="12">
        <f t="shared" si="70"/>
        <v>2396.9147804000759</v>
      </c>
      <c r="E231" s="12">
        <f t="shared" si="71"/>
        <v>424325.36021666409</v>
      </c>
      <c r="F231" s="12">
        <f t="shared" si="57"/>
        <v>1442476.5318603236</v>
      </c>
      <c r="G231" s="12">
        <f t="shared" si="58"/>
        <v>1018151.1716436595</v>
      </c>
      <c r="H231" s="12">
        <f t="shared" si="59"/>
        <v>-665.70291945353858</v>
      </c>
      <c r="I231" s="12">
        <f t="shared" si="60"/>
        <v>-2088.1105027770859</v>
      </c>
      <c r="J231" s="12">
        <f t="shared" si="55"/>
        <v>436.22342797848023</v>
      </c>
      <c r="K231" s="12"/>
      <c r="L231" s="11">
        <f t="shared" si="61"/>
        <v>1909.6611818618114</v>
      </c>
      <c r="M231" s="11">
        <f t="shared" si="62"/>
        <v>711.20379166177361</v>
      </c>
      <c r="N231" s="11">
        <f t="shared" si="63"/>
        <v>1198.4573902000379</v>
      </c>
      <c r="O231" s="11">
        <f t="shared" si="64"/>
        <v>212162.68010833205</v>
      </c>
      <c r="P231" s="11">
        <f t="shared" si="65"/>
        <v>721238.26593016181</v>
      </c>
      <c r="Q231" s="11">
        <f t="shared" si="66"/>
        <v>509075.58582182974</v>
      </c>
      <c r="R231" s="11">
        <f t="shared" si="67"/>
        <v>-896.13854541822548</v>
      </c>
      <c r="S231" s="11">
        <f t="shared" si="68"/>
        <v>-1607.3423370799992</v>
      </c>
      <c r="T231" s="11">
        <f t="shared" si="56"/>
        <v>496.26927188297259</v>
      </c>
    </row>
    <row r="232" spans="1:20">
      <c r="A232">
        <v>222</v>
      </c>
      <c r="B232" s="12">
        <f t="shared" si="54"/>
        <v>3819.3223637236229</v>
      </c>
      <c r="C232" s="12">
        <f t="shared" si="69"/>
        <v>1414.4178673888803</v>
      </c>
      <c r="D232" s="12">
        <f t="shared" si="70"/>
        <v>2404.9044963347424</v>
      </c>
      <c r="E232" s="12">
        <f t="shared" si="71"/>
        <v>421920.45572032937</v>
      </c>
      <c r="F232" s="12">
        <f t="shared" si="57"/>
        <v>1444880.6594134243</v>
      </c>
      <c r="G232" s="12">
        <f t="shared" si="58"/>
        <v>1022960.2036930949</v>
      </c>
      <c r="H232" s="12">
        <f t="shared" si="59"/>
        <v>-666.81242431929456</v>
      </c>
      <c r="I232" s="12">
        <f t="shared" si="60"/>
        <v>-2081.2302917081747</v>
      </c>
      <c r="J232" s="12">
        <f t="shared" si="55"/>
        <v>447.31086226531761</v>
      </c>
      <c r="K232" s="12"/>
      <c r="L232" s="11">
        <f t="shared" si="61"/>
        <v>1909.6611818618114</v>
      </c>
      <c r="M232" s="11">
        <f t="shared" si="62"/>
        <v>707.20893369444013</v>
      </c>
      <c r="N232" s="11">
        <f t="shared" si="63"/>
        <v>1202.4522481673712</v>
      </c>
      <c r="O232" s="11">
        <f t="shared" si="64"/>
        <v>210960.22786016468</v>
      </c>
      <c r="P232" s="11">
        <f t="shared" si="65"/>
        <v>722440.32970671216</v>
      </c>
      <c r="Q232" s="11">
        <f t="shared" si="66"/>
        <v>511480.10184654745</v>
      </c>
      <c r="R232" s="11">
        <f t="shared" si="67"/>
        <v>-897.63210966058921</v>
      </c>
      <c r="S232" s="11">
        <f t="shared" si="68"/>
        <v>-1604.8410433550293</v>
      </c>
      <c r="T232" s="11">
        <f t="shared" si="56"/>
        <v>502.27658495621472</v>
      </c>
    </row>
    <row r="233" spans="1:20">
      <c r="A233">
        <v>223</v>
      </c>
      <c r="B233" s="12">
        <f t="shared" si="54"/>
        <v>3819.3223637236229</v>
      </c>
      <c r="C233" s="12">
        <f t="shared" si="69"/>
        <v>1406.4015190677646</v>
      </c>
      <c r="D233" s="12">
        <f t="shared" si="70"/>
        <v>2412.9208446558582</v>
      </c>
      <c r="E233" s="12">
        <f t="shared" si="71"/>
        <v>419507.53487567353</v>
      </c>
      <c r="F233" s="12">
        <f t="shared" si="57"/>
        <v>1447288.7938457802</v>
      </c>
      <c r="G233" s="12">
        <f t="shared" si="58"/>
        <v>1027781.2589701067</v>
      </c>
      <c r="H233" s="12">
        <f t="shared" si="59"/>
        <v>-667.92377835982677</v>
      </c>
      <c r="I233" s="12">
        <f t="shared" si="60"/>
        <v>-2074.3252974275915</v>
      </c>
      <c r="J233" s="12">
        <f t="shared" si="55"/>
        <v>458.43009180252375</v>
      </c>
      <c r="K233" s="12"/>
      <c r="L233" s="11">
        <f t="shared" si="61"/>
        <v>1909.6611818618114</v>
      </c>
      <c r="M233" s="11">
        <f t="shared" si="62"/>
        <v>703.20075953388232</v>
      </c>
      <c r="N233" s="11">
        <f t="shared" si="63"/>
        <v>1206.4604223279291</v>
      </c>
      <c r="O233" s="11">
        <f t="shared" si="64"/>
        <v>209753.76743783677</v>
      </c>
      <c r="P233" s="11">
        <f t="shared" si="65"/>
        <v>723644.3969228901</v>
      </c>
      <c r="Q233" s="11">
        <f t="shared" si="66"/>
        <v>513890.62948505336</v>
      </c>
      <c r="R233" s="11">
        <f t="shared" si="67"/>
        <v>-899.12816317669024</v>
      </c>
      <c r="S233" s="11">
        <f t="shared" si="68"/>
        <v>-1602.3289227105724</v>
      </c>
      <c r="T233" s="11">
        <f t="shared" si="56"/>
        <v>508.30056831452384</v>
      </c>
    </row>
    <row r="234" spans="1:20">
      <c r="A234">
        <v>224</v>
      </c>
      <c r="B234" s="12">
        <f t="shared" si="54"/>
        <v>3819.3223637236229</v>
      </c>
      <c r="C234" s="12">
        <f t="shared" si="69"/>
        <v>1398.3584495855785</v>
      </c>
      <c r="D234" s="12">
        <f t="shared" si="70"/>
        <v>2420.9639141380444</v>
      </c>
      <c r="E234" s="12">
        <f t="shared" si="71"/>
        <v>417086.5709615355</v>
      </c>
      <c r="F234" s="12">
        <f t="shared" si="57"/>
        <v>1449700.9418355231</v>
      </c>
      <c r="G234" s="12">
        <f t="shared" si="58"/>
        <v>1032614.3708739877</v>
      </c>
      <c r="H234" s="12">
        <f t="shared" si="59"/>
        <v>-669.03698465709317</v>
      </c>
      <c r="I234" s="12">
        <f t="shared" si="60"/>
        <v>-2067.3954342426714</v>
      </c>
      <c r="J234" s="12">
        <f t="shared" si="55"/>
        <v>469.58121396949355</v>
      </c>
      <c r="K234" s="12"/>
      <c r="L234" s="11">
        <f t="shared" si="61"/>
        <v>1909.6611818618114</v>
      </c>
      <c r="M234" s="11">
        <f t="shared" si="62"/>
        <v>699.17922479278923</v>
      </c>
      <c r="N234" s="11">
        <f t="shared" si="63"/>
        <v>1210.4819570690222</v>
      </c>
      <c r="O234" s="11">
        <f t="shared" si="64"/>
        <v>208543.28548076775</v>
      </c>
      <c r="P234" s="11">
        <f t="shared" si="65"/>
        <v>724850.47091776156</v>
      </c>
      <c r="Q234" s="11">
        <f t="shared" si="66"/>
        <v>516307.18543699384</v>
      </c>
      <c r="R234" s="11">
        <f t="shared" si="67"/>
        <v>-900.62671011531813</v>
      </c>
      <c r="S234" s="11">
        <f t="shared" si="68"/>
        <v>-1599.8059349081072</v>
      </c>
      <c r="T234" s="11">
        <f t="shared" si="56"/>
        <v>514.34127193536369</v>
      </c>
    </row>
    <row r="235" spans="1:20">
      <c r="A235">
        <v>225</v>
      </c>
      <c r="B235" s="12">
        <f t="shared" si="54"/>
        <v>3819.3223637236229</v>
      </c>
      <c r="C235" s="12">
        <f t="shared" si="69"/>
        <v>1390.2885698717848</v>
      </c>
      <c r="D235" s="12">
        <f t="shared" si="70"/>
        <v>2429.0337938518378</v>
      </c>
      <c r="E235" s="12">
        <f t="shared" si="71"/>
        <v>414657.53716768365</v>
      </c>
      <c r="F235" s="12">
        <f t="shared" si="57"/>
        <v>1452117.1100719157</v>
      </c>
      <c r="G235" s="12">
        <f t="shared" si="58"/>
        <v>1037459.572904232</v>
      </c>
      <c r="H235" s="12">
        <f t="shared" si="59"/>
        <v>-670.15204629818834</v>
      </c>
      <c r="I235" s="12">
        <f t="shared" si="60"/>
        <v>-2060.4406161699731</v>
      </c>
      <c r="J235" s="12">
        <f t="shared" si="55"/>
        <v>480.76432645587875</v>
      </c>
      <c r="K235" s="12"/>
      <c r="L235" s="11">
        <f t="shared" si="61"/>
        <v>1909.6611818618114</v>
      </c>
      <c r="M235" s="11">
        <f t="shared" si="62"/>
        <v>695.14428493589241</v>
      </c>
      <c r="N235" s="11">
        <f t="shared" si="63"/>
        <v>1214.5168969259189</v>
      </c>
      <c r="O235" s="11">
        <f t="shared" si="64"/>
        <v>207328.76858384183</v>
      </c>
      <c r="P235" s="11">
        <f t="shared" si="65"/>
        <v>726058.55503595783</v>
      </c>
      <c r="Q235" s="11">
        <f t="shared" si="66"/>
        <v>518729.78645211598</v>
      </c>
      <c r="R235" s="11">
        <f t="shared" si="67"/>
        <v>-902.12775463217702</v>
      </c>
      <c r="S235" s="11">
        <f t="shared" si="68"/>
        <v>-1597.2720395680694</v>
      </c>
      <c r="T235" s="11">
        <f t="shared" si="56"/>
        <v>520.39874595347419</v>
      </c>
    </row>
    <row r="236" spans="1:20">
      <c r="A236">
        <v>226</v>
      </c>
      <c r="B236" s="12">
        <f t="shared" si="54"/>
        <v>3819.3223637236229</v>
      </c>
      <c r="C236" s="12">
        <f t="shared" si="69"/>
        <v>1382.1917905589455</v>
      </c>
      <c r="D236" s="12">
        <f t="shared" si="70"/>
        <v>2437.1305731646771</v>
      </c>
      <c r="E236" s="12">
        <f t="shared" si="71"/>
        <v>412220.40659451898</v>
      </c>
      <c r="F236" s="12">
        <f t="shared" si="57"/>
        <v>1454537.3052553688</v>
      </c>
      <c r="G236" s="12">
        <f t="shared" si="58"/>
        <v>1042316.8986608498</v>
      </c>
      <c r="H236" s="12">
        <f t="shared" si="59"/>
        <v>-671.26896637535197</v>
      </c>
      <c r="I236" s="12">
        <f t="shared" si="60"/>
        <v>-2053.4607569342975</v>
      </c>
      <c r="J236" s="12">
        <f t="shared" si="55"/>
        <v>491.97952726259791</v>
      </c>
      <c r="K236" s="12"/>
      <c r="L236" s="11">
        <f t="shared" si="61"/>
        <v>1909.6611818618114</v>
      </c>
      <c r="M236" s="11">
        <f t="shared" si="62"/>
        <v>691.09589527947276</v>
      </c>
      <c r="N236" s="11">
        <f t="shared" si="63"/>
        <v>1218.5652865823386</v>
      </c>
      <c r="O236" s="11">
        <f t="shared" si="64"/>
        <v>206110.20329725949</v>
      </c>
      <c r="P236" s="11">
        <f t="shared" si="65"/>
        <v>727268.65262768441</v>
      </c>
      <c r="Q236" s="11">
        <f t="shared" si="66"/>
        <v>521158.44933042489</v>
      </c>
      <c r="R236" s="11">
        <f t="shared" si="67"/>
        <v>-903.63130088989737</v>
      </c>
      <c r="S236" s="11">
        <f t="shared" si="68"/>
        <v>-1594.72719616937</v>
      </c>
      <c r="T236" s="11">
        <f t="shared" si="56"/>
        <v>526.47304066137622</v>
      </c>
    </row>
    <row r="237" spans="1:20">
      <c r="A237">
        <v>227</v>
      </c>
      <c r="B237" s="12">
        <f t="shared" si="54"/>
        <v>3819.3223637236229</v>
      </c>
      <c r="C237" s="12">
        <f t="shared" si="69"/>
        <v>1374.0680219817298</v>
      </c>
      <c r="D237" s="12">
        <f t="shared" si="70"/>
        <v>2445.2543417418929</v>
      </c>
      <c r="E237" s="12">
        <f t="shared" si="71"/>
        <v>409775.15225277707</v>
      </c>
      <c r="F237" s="12">
        <f t="shared" si="57"/>
        <v>1456961.5340974613</v>
      </c>
      <c r="G237" s="12">
        <f t="shared" si="58"/>
        <v>1047186.3818446842</v>
      </c>
      <c r="H237" s="12">
        <f t="shared" si="59"/>
        <v>-672.38774798597763</v>
      </c>
      <c r="I237" s="12">
        <f t="shared" si="60"/>
        <v>-2046.4557699677075</v>
      </c>
      <c r="J237" s="12">
        <f t="shared" si="55"/>
        <v>503.22691470284917</v>
      </c>
      <c r="K237" s="12"/>
      <c r="L237" s="11">
        <f t="shared" si="61"/>
        <v>1909.6611818618114</v>
      </c>
      <c r="M237" s="11">
        <f t="shared" si="62"/>
        <v>687.03401099086489</v>
      </c>
      <c r="N237" s="11">
        <f t="shared" si="63"/>
        <v>1222.6271708709464</v>
      </c>
      <c r="O237" s="11">
        <f t="shared" si="64"/>
        <v>204887.57612638854</v>
      </c>
      <c r="P237" s="11">
        <f t="shared" si="65"/>
        <v>728480.76704873063</v>
      </c>
      <c r="Q237" s="11">
        <f t="shared" si="66"/>
        <v>523593.19092234212</v>
      </c>
      <c r="R237" s="11">
        <f t="shared" si="67"/>
        <v>-905.13735305804721</v>
      </c>
      <c r="S237" s="11">
        <f t="shared" si="68"/>
        <v>-1592.171364048912</v>
      </c>
      <c r="T237" s="11">
        <f t="shared" si="56"/>
        <v>532.56420650988548</v>
      </c>
    </row>
    <row r="238" spans="1:20">
      <c r="A238">
        <v>228</v>
      </c>
      <c r="B238" s="12">
        <f t="shared" si="54"/>
        <v>3819.3223637236229</v>
      </c>
      <c r="C238" s="12">
        <f t="shared" si="69"/>
        <v>1365.9171741759237</v>
      </c>
      <c r="D238" s="12">
        <f t="shared" si="70"/>
        <v>2453.4051895476991</v>
      </c>
      <c r="E238" s="12">
        <f t="shared" si="71"/>
        <v>407321.74706322938</v>
      </c>
      <c r="F238" s="12">
        <f t="shared" si="57"/>
        <v>1459389.8033209571</v>
      </c>
      <c r="G238" s="12">
        <f t="shared" si="58"/>
        <v>1052068.0562577278</v>
      </c>
      <c r="H238" s="12">
        <f t="shared" si="59"/>
        <v>-673.50839423262096</v>
      </c>
      <c r="I238" s="12">
        <f t="shared" si="60"/>
        <v>-2039.4255684085447</v>
      </c>
      <c r="J238" s="12">
        <f t="shared" si="55"/>
        <v>514.50658740312974</v>
      </c>
      <c r="K238" s="12"/>
      <c r="L238" s="11">
        <f t="shared" si="61"/>
        <v>1909.6611818618114</v>
      </c>
      <c r="M238" s="11">
        <f t="shared" si="62"/>
        <v>682.95858708796186</v>
      </c>
      <c r="N238" s="11">
        <f t="shared" si="63"/>
        <v>1226.7025947738496</v>
      </c>
      <c r="O238" s="11">
        <f t="shared" si="64"/>
        <v>203660.87353161469</v>
      </c>
      <c r="P238" s="11">
        <f t="shared" si="65"/>
        <v>729694.90166047856</v>
      </c>
      <c r="Q238" s="11">
        <f t="shared" si="66"/>
        <v>526034.02812886389</v>
      </c>
      <c r="R238" s="11">
        <f t="shared" si="67"/>
        <v>-906.64591531314397</v>
      </c>
      <c r="S238" s="11">
        <f t="shared" si="68"/>
        <v>-1589.6045024011059</v>
      </c>
      <c r="T238" s="11">
        <f t="shared" si="56"/>
        <v>538.67229410862319</v>
      </c>
    </row>
    <row r="239" spans="1:20">
      <c r="A239">
        <v>229</v>
      </c>
      <c r="B239" s="12">
        <f t="shared" si="54"/>
        <v>3819.3223637236229</v>
      </c>
      <c r="C239" s="12">
        <f t="shared" si="69"/>
        <v>1357.7391568774312</v>
      </c>
      <c r="D239" s="12">
        <f t="shared" si="70"/>
        <v>2461.5832068461914</v>
      </c>
      <c r="E239" s="12">
        <f t="shared" si="71"/>
        <v>404860.16385638318</v>
      </c>
      <c r="F239" s="12">
        <f t="shared" si="57"/>
        <v>1461822.1196598255</v>
      </c>
      <c r="G239" s="12">
        <f t="shared" si="58"/>
        <v>1056961.9558034423</v>
      </c>
      <c r="H239" s="12">
        <f t="shared" si="59"/>
        <v>-674.63090822300865</v>
      </c>
      <c r="I239" s="12">
        <f t="shared" si="60"/>
        <v>-2032.3700651004399</v>
      </c>
      <c r="J239" s="12">
        <f t="shared" si="55"/>
        <v>525.8186443042548</v>
      </c>
      <c r="K239" s="12"/>
      <c r="L239" s="11">
        <f t="shared" si="61"/>
        <v>1909.6611818618114</v>
      </c>
      <c r="M239" s="11">
        <f t="shared" si="62"/>
        <v>678.86957843871562</v>
      </c>
      <c r="N239" s="11">
        <f t="shared" si="63"/>
        <v>1230.7916034230957</v>
      </c>
      <c r="O239" s="11">
        <f t="shared" si="64"/>
        <v>202430.08192819159</v>
      </c>
      <c r="P239" s="11">
        <f t="shared" si="65"/>
        <v>730911.05982991273</v>
      </c>
      <c r="Q239" s="11">
        <f t="shared" si="66"/>
        <v>528480.97790172114</v>
      </c>
      <c r="R239" s="11">
        <f t="shared" si="67"/>
        <v>-908.15699183866593</v>
      </c>
      <c r="S239" s="11">
        <f t="shared" si="68"/>
        <v>-1587.0265702773816</v>
      </c>
      <c r="T239" s="11">
        <f t="shared" si="56"/>
        <v>544.79735422653016</v>
      </c>
    </row>
    <row r="240" spans="1:20">
      <c r="A240">
        <v>230</v>
      </c>
      <c r="B240" s="12">
        <f t="shared" si="54"/>
        <v>3819.3223637236229</v>
      </c>
      <c r="C240" s="12">
        <f t="shared" si="69"/>
        <v>1349.5338795212772</v>
      </c>
      <c r="D240" s="12">
        <f t="shared" si="70"/>
        <v>2469.7884842023459</v>
      </c>
      <c r="E240" s="12">
        <f t="shared" si="71"/>
        <v>402390.37537218083</v>
      </c>
      <c r="F240" s="12">
        <f t="shared" si="57"/>
        <v>1464258.4898592585</v>
      </c>
      <c r="G240" s="12">
        <f t="shared" si="58"/>
        <v>1061868.1144870776</v>
      </c>
      <c r="H240" s="12">
        <f t="shared" si="59"/>
        <v>-675.75529307004706</v>
      </c>
      <c r="I240" s="12">
        <f t="shared" si="60"/>
        <v>-2025.2891725913241</v>
      </c>
      <c r="J240" s="12">
        <f t="shared" si="55"/>
        <v>537.16318466237772</v>
      </c>
      <c r="K240" s="12"/>
      <c r="L240" s="11">
        <f t="shared" si="61"/>
        <v>1909.6611818618114</v>
      </c>
      <c r="M240" s="11">
        <f t="shared" si="62"/>
        <v>674.76693976063859</v>
      </c>
      <c r="N240" s="11">
        <f t="shared" si="63"/>
        <v>1234.8942421011729</v>
      </c>
      <c r="O240" s="11">
        <f t="shared" si="64"/>
        <v>201195.18768609042</v>
      </c>
      <c r="P240" s="11">
        <f t="shared" si="65"/>
        <v>732129.24492962926</v>
      </c>
      <c r="Q240" s="11">
        <f t="shared" si="66"/>
        <v>530934.05724353879</v>
      </c>
      <c r="R240" s="11">
        <f t="shared" si="67"/>
        <v>-909.67058682506376</v>
      </c>
      <c r="S240" s="11">
        <f t="shared" si="68"/>
        <v>-1584.4375265857025</v>
      </c>
      <c r="T240" s="11">
        <f t="shared" si="56"/>
        <v>550.93943779238271</v>
      </c>
    </row>
    <row r="241" spans="1:20">
      <c r="A241">
        <v>231</v>
      </c>
      <c r="B241" s="12">
        <f t="shared" si="54"/>
        <v>3819.3223637236229</v>
      </c>
      <c r="C241" s="12">
        <f t="shared" si="69"/>
        <v>1341.3012512406028</v>
      </c>
      <c r="D241" s="12">
        <f t="shared" si="70"/>
        <v>2478.0211124830203</v>
      </c>
      <c r="E241" s="12">
        <f t="shared" si="71"/>
        <v>399912.35425969784</v>
      </c>
      <c r="F241" s="12">
        <f t="shared" si="57"/>
        <v>1466698.9206756908</v>
      </c>
      <c r="G241" s="12">
        <f t="shared" si="58"/>
        <v>1066786.566415993</v>
      </c>
      <c r="H241" s="12">
        <f t="shared" si="59"/>
        <v>-676.88155189183055</v>
      </c>
      <c r="I241" s="12">
        <f t="shared" si="60"/>
        <v>-2018.1828031324335</v>
      </c>
      <c r="J241" s="12">
        <f t="shared" si="55"/>
        <v>548.54030805002503</v>
      </c>
      <c r="K241" s="12"/>
      <c r="L241" s="11">
        <f t="shared" si="61"/>
        <v>1909.6611818618114</v>
      </c>
      <c r="M241" s="11">
        <f t="shared" si="62"/>
        <v>670.65062562030141</v>
      </c>
      <c r="N241" s="11">
        <f t="shared" si="63"/>
        <v>1239.0105562415101</v>
      </c>
      <c r="O241" s="11">
        <f t="shared" si="64"/>
        <v>199956.17712984892</v>
      </c>
      <c r="P241" s="11">
        <f t="shared" si="65"/>
        <v>733349.46033784538</v>
      </c>
      <c r="Q241" s="11">
        <f t="shared" si="66"/>
        <v>533393.28320799652</v>
      </c>
      <c r="R241" s="11">
        <f t="shared" si="67"/>
        <v>-911.18670446977228</v>
      </c>
      <c r="S241" s="11">
        <f t="shared" si="68"/>
        <v>-1581.8373300900737</v>
      </c>
      <c r="T241" s="11">
        <f t="shared" si="56"/>
        <v>557.09859589530856</v>
      </c>
    </row>
    <row r="242" spans="1:20">
      <c r="A242">
        <v>232</v>
      </c>
      <c r="B242" s="12">
        <f t="shared" si="54"/>
        <v>3819.3223637236229</v>
      </c>
      <c r="C242" s="12">
        <f t="shared" si="69"/>
        <v>1333.0411808656595</v>
      </c>
      <c r="D242" s="12">
        <f t="shared" si="70"/>
        <v>2486.2811828579634</v>
      </c>
      <c r="E242" s="12">
        <f t="shared" si="71"/>
        <v>397426.07307683985</v>
      </c>
      <c r="F242" s="12">
        <f t="shared" si="57"/>
        <v>1469143.418876817</v>
      </c>
      <c r="G242" s="12">
        <f t="shared" si="58"/>
        <v>1071717.3457999772</v>
      </c>
      <c r="H242" s="12">
        <f t="shared" si="59"/>
        <v>-678.00968781165034</v>
      </c>
      <c r="I242" s="12">
        <f t="shared" si="60"/>
        <v>-2011.0508686773098</v>
      </c>
      <c r="J242" s="12">
        <f t="shared" si="55"/>
        <v>559.95011435711945</v>
      </c>
      <c r="K242" s="12"/>
      <c r="L242" s="11">
        <f t="shared" si="61"/>
        <v>1909.6611818618114</v>
      </c>
      <c r="M242" s="11">
        <f t="shared" si="62"/>
        <v>666.52059043282975</v>
      </c>
      <c r="N242" s="11">
        <f t="shared" si="63"/>
        <v>1243.1405914289817</v>
      </c>
      <c r="O242" s="11">
        <f t="shared" si="64"/>
        <v>198713.03653841992</v>
      </c>
      <c r="P242" s="11">
        <f t="shared" si="65"/>
        <v>734571.70943840849</v>
      </c>
      <c r="Q242" s="11">
        <f t="shared" si="66"/>
        <v>535858.6728999886</v>
      </c>
      <c r="R242" s="11">
        <f t="shared" si="67"/>
        <v>-912.70534897722189</v>
      </c>
      <c r="S242" s="11">
        <f t="shared" si="68"/>
        <v>-1579.2259394100515</v>
      </c>
      <c r="T242" s="11">
        <f t="shared" si="56"/>
        <v>563.27487978530689</v>
      </c>
    </row>
    <row r="243" spans="1:20">
      <c r="A243">
        <v>233</v>
      </c>
      <c r="B243" s="12">
        <f t="shared" si="54"/>
        <v>3819.3223637236229</v>
      </c>
      <c r="C243" s="12">
        <f t="shared" si="69"/>
        <v>1324.7535769227995</v>
      </c>
      <c r="D243" s="12">
        <f t="shared" si="70"/>
        <v>2494.5687868008235</v>
      </c>
      <c r="E243" s="12">
        <f t="shared" si="71"/>
        <v>394931.50429003901</v>
      </c>
      <c r="F243" s="12">
        <f t="shared" si="57"/>
        <v>1471591.9912416118</v>
      </c>
      <c r="G243" s="12">
        <f t="shared" si="58"/>
        <v>1076660.4869515728</v>
      </c>
      <c r="H243" s="12">
        <f t="shared" si="59"/>
        <v>-679.13970395800311</v>
      </c>
      <c r="I243" s="12">
        <f t="shared" si="60"/>
        <v>-2003.8932808808026</v>
      </c>
      <c r="J243" s="12">
        <f t="shared" si="55"/>
        <v>571.39270379201753</v>
      </c>
      <c r="K243" s="12"/>
      <c r="L243" s="11">
        <f t="shared" si="61"/>
        <v>1909.6611818618114</v>
      </c>
      <c r="M243" s="11">
        <f t="shared" si="62"/>
        <v>662.37678846139977</v>
      </c>
      <c r="N243" s="11">
        <f t="shared" si="63"/>
        <v>1247.2843934004118</v>
      </c>
      <c r="O243" s="11">
        <f t="shared" si="64"/>
        <v>197465.75214501951</v>
      </c>
      <c r="P243" s="11">
        <f t="shared" si="65"/>
        <v>735795.99562080589</v>
      </c>
      <c r="Q243" s="11">
        <f t="shared" si="66"/>
        <v>538330.24347578641</v>
      </c>
      <c r="R243" s="11">
        <f t="shared" si="67"/>
        <v>-914.22652455885066</v>
      </c>
      <c r="S243" s="11">
        <f t="shared" si="68"/>
        <v>-1576.6033130202504</v>
      </c>
      <c r="T243" s="11">
        <f t="shared" si="56"/>
        <v>569.46834087376692</v>
      </c>
    </row>
    <row r="244" spans="1:20">
      <c r="A244">
        <v>234</v>
      </c>
      <c r="B244" s="12">
        <f t="shared" si="54"/>
        <v>3819.3223637236229</v>
      </c>
      <c r="C244" s="12">
        <f t="shared" si="69"/>
        <v>1316.4383476334635</v>
      </c>
      <c r="D244" s="12">
        <f t="shared" si="70"/>
        <v>2502.8840160901591</v>
      </c>
      <c r="E244" s="12">
        <f t="shared" si="71"/>
        <v>392428.62027394888</v>
      </c>
      <c r="F244" s="12">
        <f t="shared" si="57"/>
        <v>1474044.6445603478</v>
      </c>
      <c r="G244" s="12">
        <f t="shared" si="58"/>
        <v>1081616.0242863989</v>
      </c>
      <c r="H244" s="12">
        <f t="shared" si="59"/>
        <v>-680.27160346459982</v>
      </c>
      <c r="I244" s="12">
        <f t="shared" si="60"/>
        <v>-1996.7099510980634</v>
      </c>
      <c r="J244" s="12">
        <f t="shared" si="55"/>
        <v>582.86817688254496</v>
      </c>
      <c r="K244" s="12"/>
      <c r="L244" s="11">
        <f t="shared" si="61"/>
        <v>1909.6611818618114</v>
      </c>
      <c r="M244" s="11">
        <f t="shared" si="62"/>
        <v>658.21917381673177</v>
      </c>
      <c r="N244" s="11">
        <f t="shared" si="63"/>
        <v>1251.4420080450795</v>
      </c>
      <c r="O244" s="11">
        <f t="shared" si="64"/>
        <v>196214.31013697444</v>
      </c>
      <c r="P244" s="11">
        <f t="shared" si="65"/>
        <v>737022.32228017389</v>
      </c>
      <c r="Q244" s="11">
        <f t="shared" si="66"/>
        <v>540808.01214319945</v>
      </c>
      <c r="R244" s="11">
        <f t="shared" si="67"/>
        <v>-915.75023543311545</v>
      </c>
      <c r="S244" s="11">
        <f t="shared" si="68"/>
        <v>-1573.9694092498471</v>
      </c>
      <c r="T244" s="11">
        <f t="shared" si="56"/>
        <v>575.67903073399339</v>
      </c>
    </row>
    <row r="245" spans="1:20">
      <c r="A245">
        <v>235</v>
      </c>
      <c r="B245" s="12">
        <f t="shared" si="54"/>
        <v>3819.3223637236229</v>
      </c>
      <c r="C245" s="12">
        <f t="shared" si="69"/>
        <v>1308.0954009131631</v>
      </c>
      <c r="D245" s="12">
        <f t="shared" si="70"/>
        <v>2511.2269628104596</v>
      </c>
      <c r="E245" s="12">
        <f t="shared" si="71"/>
        <v>389917.39331113844</v>
      </c>
      <c r="F245" s="12">
        <f t="shared" si="57"/>
        <v>1476501.3856346151</v>
      </c>
      <c r="G245" s="12">
        <f t="shared" si="58"/>
        <v>1086583.9923234766</v>
      </c>
      <c r="H245" s="12">
        <f t="shared" si="59"/>
        <v>-681.40538947037419</v>
      </c>
      <c r="I245" s="12">
        <f t="shared" si="60"/>
        <v>-1989.5007903835372</v>
      </c>
      <c r="J245" s="12">
        <f t="shared" si="55"/>
        <v>594.37663447703926</v>
      </c>
      <c r="K245" s="12"/>
      <c r="L245" s="11">
        <f t="shared" si="61"/>
        <v>1909.6611818618114</v>
      </c>
      <c r="M245" s="11">
        <f t="shared" si="62"/>
        <v>654.04770045658154</v>
      </c>
      <c r="N245" s="11">
        <f t="shared" si="63"/>
        <v>1255.6134814052298</v>
      </c>
      <c r="O245" s="11">
        <f t="shared" si="64"/>
        <v>194958.69665556922</v>
      </c>
      <c r="P245" s="11">
        <f t="shared" si="65"/>
        <v>738250.69281730754</v>
      </c>
      <c r="Q245" s="11">
        <f t="shared" si="66"/>
        <v>543291.99616173829</v>
      </c>
      <c r="R245" s="11">
        <f t="shared" si="67"/>
        <v>-917.27648582550398</v>
      </c>
      <c r="S245" s="11">
        <f t="shared" si="68"/>
        <v>-1571.3241862820855</v>
      </c>
      <c r="T245" s="11">
        <f t="shared" si="56"/>
        <v>581.90700110172838</v>
      </c>
    </row>
    <row r="246" spans="1:20">
      <c r="A246">
        <v>236</v>
      </c>
      <c r="B246" s="12">
        <f t="shared" si="54"/>
        <v>3819.3223637236229</v>
      </c>
      <c r="C246" s="12">
        <f t="shared" si="69"/>
        <v>1299.7246443704614</v>
      </c>
      <c r="D246" s="12">
        <f t="shared" si="70"/>
        <v>2519.5977193531617</v>
      </c>
      <c r="E246" s="12">
        <f t="shared" si="71"/>
        <v>387397.79559178528</v>
      </c>
      <c r="F246" s="12">
        <f t="shared" si="57"/>
        <v>1478962.2212773396</v>
      </c>
      <c r="G246" s="12">
        <f t="shared" si="58"/>
        <v>1091564.4256855543</v>
      </c>
      <c r="H246" s="12">
        <f t="shared" si="59"/>
        <v>-682.54106511949146</v>
      </c>
      <c r="I246" s="12">
        <f t="shared" si="60"/>
        <v>-1982.2657094899528</v>
      </c>
      <c r="J246" s="12">
        <f t="shared" si="55"/>
        <v>605.91817774539095</v>
      </c>
      <c r="K246" s="12"/>
      <c r="L246" s="11">
        <f t="shared" si="61"/>
        <v>1909.6611818618114</v>
      </c>
      <c r="M246" s="11">
        <f t="shared" si="62"/>
        <v>649.86232218523071</v>
      </c>
      <c r="N246" s="11">
        <f t="shared" si="63"/>
        <v>1259.7988596765808</v>
      </c>
      <c r="O246" s="11">
        <f t="shared" si="64"/>
        <v>193698.89779589264</v>
      </c>
      <c r="P246" s="11">
        <f t="shared" si="65"/>
        <v>739481.11063866981</v>
      </c>
      <c r="Q246" s="11">
        <f t="shared" si="66"/>
        <v>545782.21284277714</v>
      </c>
      <c r="R246" s="11">
        <f t="shared" si="67"/>
        <v>-918.80527996854653</v>
      </c>
      <c r="S246" s="11">
        <f t="shared" si="68"/>
        <v>-1568.6676021537774</v>
      </c>
      <c r="T246" s="11">
        <f t="shared" si="56"/>
        <v>588.1523038756759</v>
      </c>
    </row>
    <row r="247" spans="1:20">
      <c r="A247">
        <v>237</v>
      </c>
      <c r="B247" s="12">
        <f t="shared" si="54"/>
        <v>3819.3223637236229</v>
      </c>
      <c r="C247" s="12">
        <f t="shared" si="69"/>
        <v>1291.325985305951</v>
      </c>
      <c r="D247" s="12">
        <f t="shared" si="70"/>
        <v>2527.9963784176716</v>
      </c>
      <c r="E247" s="12">
        <f t="shared" si="71"/>
        <v>384869.79921336763</v>
      </c>
      <c r="F247" s="12">
        <f t="shared" si="57"/>
        <v>1481427.158312802</v>
      </c>
      <c r="G247" s="12">
        <f t="shared" si="58"/>
        <v>1096557.3590994342</v>
      </c>
      <c r="H247" s="12">
        <f t="shared" si="59"/>
        <v>-683.67863356135729</v>
      </c>
      <c r="I247" s="12">
        <f t="shared" si="60"/>
        <v>-1975.0046188673082</v>
      </c>
      <c r="J247" s="12">
        <f t="shared" si="55"/>
        <v>617.49290818009513</v>
      </c>
      <c r="K247" s="12"/>
      <c r="L247" s="11">
        <f t="shared" si="61"/>
        <v>1909.6611818618114</v>
      </c>
      <c r="M247" s="11">
        <f t="shared" si="62"/>
        <v>645.6629926529755</v>
      </c>
      <c r="N247" s="11">
        <f t="shared" si="63"/>
        <v>1263.9981892088358</v>
      </c>
      <c r="O247" s="11">
        <f t="shared" si="64"/>
        <v>192434.89960668382</v>
      </c>
      <c r="P247" s="11">
        <f t="shared" si="65"/>
        <v>740713.57915640099</v>
      </c>
      <c r="Q247" s="11">
        <f t="shared" si="66"/>
        <v>548278.67954971711</v>
      </c>
      <c r="R247" s="11">
        <f t="shared" si="67"/>
        <v>-920.33662210182752</v>
      </c>
      <c r="S247" s="11">
        <f t="shared" si="68"/>
        <v>-1565.9996147548031</v>
      </c>
      <c r="T247" s="11">
        <f t="shared" si="56"/>
        <v>594.41499111803296</v>
      </c>
    </row>
    <row r="248" spans="1:20">
      <c r="A248">
        <v>238</v>
      </c>
      <c r="B248" s="12">
        <f t="shared" si="54"/>
        <v>3819.3223637236229</v>
      </c>
      <c r="C248" s="12">
        <f t="shared" si="69"/>
        <v>1282.8993307112255</v>
      </c>
      <c r="D248" s="12">
        <f t="shared" si="70"/>
        <v>2536.4230330123974</v>
      </c>
      <c r="E248" s="12">
        <f t="shared" si="71"/>
        <v>382333.3761803552</v>
      </c>
      <c r="F248" s="12">
        <f t="shared" si="57"/>
        <v>1483896.2035766568</v>
      </c>
      <c r="G248" s="12">
        <f t="shared" si="58"/>
        <v>1101562.8273963016</v>
      </c>
      <c r="H248" s="12">
        <f t="shared" si="59"/>
        <v>-684.81809795062622</v>
      </c>
      <c r="I248" s="12">
        <f t="shared" si="60"/>
        <v>-1967.7174286618517</v>
      </c>
      <c r="J248" s="12">
        <f t="shared" si="55"/>
        <v>629.10092759729764</v>
      </c>
      <c r="K248" s="12"/>
      <c r="L248" s="11">
        <f t="shared" si="61"/>
        <v>1909.6611818618114</v>
      </c>
      <c r="M248" s="11">
        <f t="shared" si="62"/>
        <v>641.44966535561275</v>
      </c>
      <c r="N248" s="11">
        <f t="shared" si="63"/>
        <v>1268.2115165061987</v>
      </c>
      <c r="O248" s="11">
        <f t="shared" si="64"/>
        <v>191166.6880901776</v>
      </c>
      <c r="P248" s="11">
        <f t="shared" si="65"/>
        <v>741948.10178832838</v>
      </c>
      <c r="Q248" s="11">
        <f t="shared" si="66"/>
        <v>550781.41369815078</v>
      </c>
      <c r="R248" s="11">
        <f t="shared" si="67"/>
        <v>-921.87051647199723</v>
      </c>
      <c r="S248" s="11">
        <f t="shared" si="68"/>
        <v>-1563.32018182761</v>
      </c>
      <c r="T248" s="11">
        <f t="shared" si="56"/>
        <v>600.69511505501418</v>
      </c>
    </row>
    <row r="249" spans="1:20">
      <c r="A249">
        <v>239</v>
      </c>
      <c r="B249" s="12">
        <f t="shared" si="54"/>
        <v>3819.3223637236229</v>
      </c>
      <c r="C249" s="12">
        <f t="shared" si="69"/>
        <v>1274.4445872678507</v>
      </c>
      <c r="D249" s="12">
        <f t="shared" si="70"/>
        <v>2544.8777764557722</v>
      </c>
      <c r="E249" s="12">
        <f t="shared" si="71"/>
        <v>379788.49840389943</v>
      </c>
      <c r="F249" s="12">
        <f t="shared" si="57"/>
        <v>1486369.3639159512</v>
      </c>
      <c r="G249" s="12">
        <f t="shared" si="58"/>
        <v>1106580.8655120519</v>
      </c>
      <c r="H249" s="12">
        <f t="shared" si="59"/>
        <v>-685.95946144721063</v>
      </c>
      <c r="I249" s="12">
        <f t="shared" si="60"/>
        <v>-1960.4040487150614</v>
      </c>
      <c r="J249" s="12">
        <f t="shared" si="55"/>
        <v>640.74233813785258</v>
      </c>
      <c r="K249" s="12"/>
      <c r="L249" s="11">
        <f t="shared" si="61"/>
        <v>1909.6611818618114</v>
      </c>
      <c r="M249" s="11">
        <f t="shared" si="62"/>
        <v>637.22229363392535</v>
      </c>
      <c r="N249" s="11">
        <f t="shared" si="63"/>
        <v>1272.4388882278861</v>
      </c>
      <c r="O249" s="11">
        <f t="shared" si="64"/>
        <v>189894.24920194971</v>
      </c>
      <c r="P249" s="11">
        <f t="shared" si="65"/>
        <v>743184.68195797561</v>
      </c>
      <c r="Q249" s="11">
        <f t="shared" si="66"/>
        <v>553290.43275602593</v>
      </c>
      <c r="R249" s="11">
        <f t="shared" si="67"/>
        <v>-923.40696733278389</v>
      </c>
      <c r="S249" s="11">
        <f t="shared" si="68"/>
        <v>-1560.6292609667094</v>
      </c>
      <c r="T249" s="11">
        <f t="shared" si="56"/>
        <v>606.99272807738635</v>
      </c>
    </row>
    <row r="250" spans="1:20">
      <c r="A250">
        <v>240</v>
      </c>
      <c r="B250" s="12">
        <f t="shared" si="54"/>
        <v>3819.3223637236229</v>
      </c>
      <c r="C250" s="12">
        <f t="shared" si="69"/>
        <v>1265.9616613463315</v>
      </c>
      <c r="D250" s="12">
        <f t="shared" si="70"/>
        <v>2553.3607023772911</v>
      </c>
      <c r="E250" s="12">
        <f t="shared" si="71"/>
        <v>377235.13770152215</v>
      </c>
      <c r="F250" s="12">
        <f t="shared" si="57"/>
        <v>1488846.6461891446</v>
      </c>
      <c r="G250" s="12">
        <f t="shared" si="58"/>
        <v>1111611.5084876225</v>
      </c>
      <c r="H250" s="12">
        <f t="shared" si="59"/>
        <v>-687.1027272162894</v>
      </c>
      <c r="I250" s="12">
        <f t="shared" si="60"/>
        <v>-1953.0643885626209</v>
      </c>
      <c r="J250" s="12">
        <f t="shared" si="55"/>
        <v>652.41724226838187</v>
      </c>
      <c r="K250" s="12"/>
      <c r="L250" s="11">
        <f t="shared" si="61"/>
        <v>1909.6611818618114</v>
      </c>
      <c r="M250" s="11">
        <f t="shared" si="62"/>
        <v>632.98083067316577</v>
      </c>
      <c r="N250" s="11">
        <f t="shared" si="63"/>
        <v>1276.6803511886455</v>
      </c>
      <c r="O250" s="11">
        <f t="shared" si="64"/>
        <v>188617.56885076108</v>
      </c>
      <c r="P250" s="11">
        <f t="shared" si="65"/>
        <v>744423.32309457229</v>
      </c>
      <c r="Q250" s="11">
        <f t="shared" si="66"/>
        <v>555805.75424381124</v>
      </c>
      <c r="R250" s="11">
        <f t="shared" si="67"/>
        <v>-924.94597894500521</v>
      </c>
      <c r="S250" s="11">
        <f t="shared" si="68"/>
        <v>-1557.9268096181709</v>
      </c>
      <c r="T250" s="11">
        <f t="shared" si="56"/>
        <v>613.30788274099814</v>
      </c>
    </row>
    <row r="251" spans="1:20">
      <c r="A251">
        <v>241</v>
      </c>
      <c r="B251" s="12">
        <f t="shared" si="54"/>
        <v>3819.3223637236229</v>
      </c>
      <c r="C251" s="12">
        <f t="shared" si="69"/>
        <v>1257.450459005074</v>
      </c>
      <c r="D251" s="12">
        <f t="shared" si="70"/>
        <v>2561.8719047185486</v>
      </c>
      <c r="E251" s="12">
        <f t="shared" si="71"/>
        <v>374673.26579680358</v>
      </c>
      <c r="F251" s="12">
        <f t="shared" si="57"/>
        <v>1491328.0572661266</v>
      </c>
      <c r="G251" s="12">
        <f t="shared" si="58"/>
        <v>1116654.791469323</v>
      </c>
      <c r="H251" s="12">
        <f t="shared" si="59"/>
        <v>-688.2478984283166</v>
      </c>
      <c r="I251" s="12">
        <f t="shared" si="60"/>
        <v>-1945.6983574333906</v>
      </c>
      <c r="J251" s="12">
        <f t="shared" si="55"/>
        <v>664.12574278233092</v>
      </c>
      <c r="K251" s="12"/>
      <c r="L251" s="11">
        <f t="shared" si="61"/>
        <v>1909.6611818618114</v>
      </c>
      <c r="M251" s="11">
        <f t="shared" si="62"/>
        <v>628.72522950253699</v>
      </c>
      <c r="N251" s="11">
        <f t="shared" si="63"/>
        <v>1280.9359523592743</v>
      </c>
      <c r="O251" s="11">
        <f t="shared" si="64"/>
        <v>187336.63289840179</v>
      </c>
      <c r="P251" s="11">
        <f t="shared" si="65"/>
        <v>745664.02863306331</v>
      </c>
      <c r="Q251" s="11">
        <f t="shared" si="66"/>
        <v>558327.39573466149</v>
      </c>
      <c r="R251" s="11">
        <f t="shared" si="67"/>
        <v>-926.48755557658023</v>
      </c>
      <c r="S251" s="11">
        <f t="shared" si="68"/>
        <v>-1555.2127850791171</v>
      </c>
      <c r="T251" s="11">
        <f t="shared" si="56"/>
        <v>619.64063176731725</v>
      </c>
    </row>
    <row r="252" spans="1:20">
      <c r="A252">
        <v>242</v>
      </c>
      <c r="B252" s="12">
        <f t="shared" si="54"/>
        <v>3819.3223637236229</v>
      </c>
      <c r="C252" s="12">
        <f t="shared" si="69"/>
        <v>1248.9108859893452</v>
      </c>
      <c r="D252" s="12">
        <f t="shared" si="70"/>
        <v>2570.4114777342775</v>
      </c>
      <c r="E252" s="12">
        <f t="shared" si="71"/>
        <v>372102.8543190693</v>
      </c>
      <c r="F252" s="12">
        <f t="shared" si="57"/>
        <v>1493813.6040282368</v>
      </c>
      <c r="G252" s="12">
        <f t="shared" si="58"/>
        <v>1121710.7497091675</v>
      </c>
      <c r="H252" s="12">
        <f t="shared" si="59"/>
        <v>-689.39497825903049</v>
      </c>
      <c r="I252" s="12">
        <f t="shared" si="60"/>
        <v>-1938.3058642483757</v>
      </c>
      <c r="J252" s="12">
        <f t="shared" si="55"/>
        <v>675.86794280103868</v>
      </c>
      <c r="K252" s="12"/>
      <c r="L252" s="11">
        <f t="shared" si="61"/>
        <v>1909.6611818618114</v>
      </c>
      <c r="M252" s="11">
        <f t="shared" si="62"/>
        <v>624.45544299467258</v>
      </c>
      <c r="N252" s="11">
        <f t="shared" si="63"/>
        <v>1285.2057388671387</v>
      </c>
      <c r="O252" s="11">
        <f t="shared" si="64"/>
        <v>186051.42715953465</v>
      </c>
      <c r="P252" s="11">
        <f t="shared" si="65"/>
        <v>746906.80201411841</v>
      </c>
      <c r="Q252" s="11">
        <f t="shared" si="66"/>
        <v>560855.37485458376</v>
      </c>
      <c r="R252" s="11">
        <f t="shared" si="67"/>
        <v>-928.03170150254118</v>
      </c>
      <c r="S252" s="11">
        <f t="shared" si="68"/>
        <v>-1552.4871444972136</v>
      </c>
      <c r="T252" s="11">
        <f t="shared" si="56"/>
        <v>625.99102804396489</v>
      </c>
    </row>
    <row r="253" spans="1:20">
      <c r="A253">
        <v>243</v>
      </c>
      <c r="B253" s="12">
        <f t="shared" si="54"/>
        <v>3819.3223637236229</v>
      </c>
      <c r="C253" s="12">
        <f t="shared" si="69"/>
        <v>1240.3428477302311</v>
      </c>
      <c r="D253" s="12">
        <f t="shared" si="70"/>
        <v>2578.9795159933919</v>
      </c>
      <c r="E253" s="12">
        <f t="shared" si="71"/>
        <v>369523.87480307592</v>
      </c>
      <c r="F253" s="12">
        <f t="shared" si="57"/>
        <v>1496303.2933682839</v>
      </c>
      <c r="G253" s="12">
        <f t="shared" si="58"/>
        <v>1126779.4185652081</v>
      </c>
      <c r="H253" s="12">
        <f t="shared" si="59"/>
        <v>-690.54396988946223</v>
      </c>
      <c r="I253" s="12">
        <f t="shared" si="60"/>
        <v>-1930.8868176196934</v>
      </c>
      <c r="J253" s="12">
        <f t="shared" si="55"/>
        <v>687.64394577480334</v>
      </c>
      <c r="K253" s="12"/>
      <c r="L253" s="11">
        <f t="shared" si="61"/>
        <v>1909.6611818618114</v>
      </c>
      <c r="M253" s="11">
        <f t="shared" si="62"/>
        <v>620.17142386511557</v>
      </c>
      <c r="N253" s="11">
        <f t="shared" si="63"/>
        <v>1289.489757996696</v>
      </c>
      <c r="O253" s="11">
        <f t="shared" si="64"/>
        <v>184761.93740153796</v>
      </c>
      <c r="P253" s="11">
        <f t="shared" si="65"/>
        <v>748151.64668414195</v>
      </c>
      <c r="Q253" s="11">
        <f t="shared" si="66"/>
        <v>563389.70928260405</v>
      </c>
      <c r="R253" s="11">
        <f t="shared" si="67"/>
        <v>-929.57842100504547</v>
      </c>
      <c r="S253" s="11">
        <f t="shared" si="68"/>
        <v>-1549.749844870161</v>
      </c>
      <c r="T253" s="11">
        <f t="shared" si="56"/>
        <v>632.35912462525289</v>
      </c>
    </row>
    <row r="254" spans="1:20">
      <c r="A254">
        <v>244</v>
      </c>
      <c r="B254" s="12">
        <f t="shared" si="54"/>
        <v>3819.3223637236229</v>
      </c>
      <c r="C254" s="12">
        <f t="shared" si="69"/>
        <v>1231.7462493435864</v>
      </c>
      <c r="D254" s="12">
        <f t="shared" si="70"/>
        <v>2587.5761143800364</v>
      </c>
      <c r="E254" s="12">
        <f t="shared" si="71"/>
        <v>366936.29868869588</v>
      </c>
      <c r="F254" s="12">
        <f t="shared" si="57"/>
        <v>1498797.1321905644</v>
      </c>
      <c r="G254" s="12">
        <f t="shared" si="58"/>
        <v>1131860.8335018684</v>
      </c>
      <c r="H254" s="12">
        <f t="shared" si="59"/>
        <v>-691.69487650594465</v>
      </c>
      <c r="I254" s="12">
        <f t="shared" si="60"/>
        <v>-1923.4411258495311</v>
      </c>
      <c r="J254" s="12">
        <f t="shared" si="55"/>
        <v>699.45385548395643</v>
      </c>
      <c r="K254" s="12"/>
      <c r="L254" s="11">
        <f t="shared" si="61"/>
        <v>1909.6611818618114</v>
      </c>
      <c r="M254" s="11">
        <f t="shared" si="62"/>
        <v>615.87312467179322</v>
      </c>
      <c r="N254" s="11">
        <f t="shared" si="63"/>
        <v>1293.7880571900182</v>
      </c>
      <c r="O254" s="11">
        <f t="shared" si="64"/>
        <v>183468.14934434794</v>
      </c>
      <c r="P254" s="11">
        <f t="shared" si="65"/>
        <v>749398.56609528221</v>
      </c>
      <c r="Q254" s="11">
        <f t="shared" si="66"/>
        <v>565930.41675093421</v>
      </c>
      <c r="R254" s="11">
        <f t="shared" si="67"/>
        <v>-931.12771837338721</v>
      </c>
      <c r="S254" s="11">
        <f t="shared" si="68"/>
        <v>-1547.0008430451803</v>
      </c>
      <c r="T254" s="11">
        <f t="shared" si="56"/>
        <v>638.74497473272595</v>
      </c>
    </row>
    <row r="255" spans="1:20">
      <c r="A255">
        <v>245</v>
      </c>
      <c r="B255" s="12">
        <f t="shared" si="54"/>
        <v>3819.3223637236229</v>
      </c>
      <c r="C255" s="12">
        <f t="shared" si="69"/>
        <v>1223.1209956289863</v>
      </c>
      <c r="D255" s="12">
        <f t="shared" si="70"/>
        <v>2596.2013680946366</v>
      </c>
      <c r="E255" s="12">
        <f t="shared" si="71"/>
        <v>364340.09732060123</v>
      </c>
      <c r="F255" s="12">
        <f t="shared" si="57"/>
        <v>1501295.1274108822</v>
      </c>
      <c r="G255" s="12">
        <f t="shared" si="58"/>
        <v>1136955.0300902808</v>
      </c>
      <c r="H255" s="12">
        <f t="shared" si="59"/>
        <v>-692.84770130012123</v>
      </c>
      <c r="I255" s="12">
        <f t="shared" si="60"/>
        <v>-1915.9686969291074</v>
      </c>
      <c r="J255" s="12">
        <f t="shared" si="55"/>
        <v>711.2977760399358</v>
      </c>
      <c r="K255" s="12"/>
      <c r="L255" s="11">
        <f t="shared" si="61"/>
        <v>1909.6611818618114</v>
      </c>
      <c r="M255" s="11">
        <f t="shared" si="62"/>
        <v>611.56049781449315</v>
      </c>
      <c r="N255" s="11">
        <f t="shared" si="63"/>
        <v>1298.1006840473183</v>
      </c>
      <c r="O255" s="11">
        <f t="shared" si="64"/>
        <v>182170.04866030061</v>
      </c>
      <c r="P255" s="11">
        <f t="shared" si="65"/>
        <v>750647.56370544108</v>
      </c>
      <c r="Q255" s="11">
        <f t="shared" si="66"/>
        <v>568477.5150451404</v>
      </c>
      <c r="R255" s="11">
        <f t="shared" si="67"/>
        <v>-932.6795979040096</v>
      </c>
      <c r="S255" s="11">
        <f t="shared" si="68"/>
        <v>-1544.2400957185027</v>
      </c>
      <c r="T255" s="11">
        <f t="shared" si="56"/>
        <v>645.14863175570053</v>
      </c>
    </row>
    <row r="256" spans="1:20">
      <c r="A256">
        <v>246</v>
      </c>
      <c r="B256" s="12">
        <f t="shared" si="54"/>
        <v>3819.3223637236229</v>
      </c>
      <c r="C256" s="12">
        <f t="shared" si="69"/>
        <v>1214.4669910686707</v>
      </c>
      <c r="D256" s="12">
        <f t="shared" si="70"/>
        <v>2604.8553726549521</v>
      </c>
      <c r="E256" s="12">
        <f t="shared" si="71"/>
        <v>361735.24194794626</v>
      </c>
      <c r="F256" s="12">
        <f t="shared" si="57"/>
        <v>1503797.2859565669</v>
      </c>
      <c r="G256" s="12">
        <f t="shared" si="58"/>
        <v>1142062.0440086205</v>
      </c>
      <c r="H256" s="12">
        <f t="shared" si="59"/>
        <v>-694.00244746895476</v>
      </c>
      <c r="I256" s="12">
        <f t="shared" si="60"/>
        <v>-1908.4694385376256</v>
      </c>
      <c r="J256" s="12">
        <f t="shared" si="55"/>
        <v>723.17581188636632</v>
      </c>
      <c r="K256" s="12"/>
      <c r="L256" s="11">
        <f t="shared" si="61"/>
        <v>1909.6611818618114</v>
      </c>
      <c r="M256" s="11">
        <f t="shared" si="62"/>
        <v>607.23349553433536</v>
      </c>
      <c r="N256" s="11">
        <f t="shared" si="63"/>
        <v>1302.4276863274761</v>
      </c>
      <c r="O256" s="11">
        <f t="shared" si="64"/>
        <v>180867.62097397313</v>
      </c>
      <c r="P256" s="11">
        <f t="shared" si="65"/>
        <v>751898.64297828346</v>
      </c>
      <c r="Q256" s="11">
        <f t="shared" si="66"/>
        <v>571031.02200431027</v>
      </c>
      <c r="R256" s="11">
        <f t="shared" si="67"/>
        <v>-934.23406390051628</v>
      </c>
      <c r="S256" s="11">
        <f t="shared" si="68"/>
        <v>-1541.4675594348516</v>
      </c>
      <c r="T256" s="11">
        <f t="shared" si="56"/>
        <v>651.57014925180852</v>
      </c>
    </row>
    <row r="257" spans="1:20">
      <c r="A257">
        <v>247</v>
      </c>
      <c r="B257" s="12">
        <f t="shared" si="54"/>
        <v>3819.3223637236229</v>
      </c>
      <c r="C257" s="12">
        <f t="shared" si="69"/>
        <v>1205.7841398264875</v>
      </c>
      <c r="D257" s="12">
        <f t="shared" si="70"/>
        <v>2613.5382238971351</v>
      </c>
      <c r="E257" s="12">
        <f t="shared" si="71"/>
        <v>359121.70372404915</v>
      </c>
      <c r="F257" s="12">
        <f t="shared" si="57"/>
        <v>1506303.6147664946</v>
      </c>
      <c r="G257" s="12">
        <f t="shared" si="58"/>
        <v>1147181.9110424453</v>
      </c>
      <c r="H257" s="12">
        <f t="shared" si="59"/>
        <v>-695.1591182147364</v>
      </c>
      <c r="I257" s="12">
        <f t="shared" si="60"/>
        <v>-1900.943258041224</v>
      </c>
      <c r="J257" s="12">
        <f t="shared" si="55"/>
        <v>735.08806780014174</v>
      </c>
      <c r="K257" s="12"/>
      <c r="L257" s="11">
        <f t="shared" si="61"/>
        <v>1909.6611818618114</v>
      </c>
      <c r="M257" s="11">
        <f t="shared" si="62"/>
        <v>602.89206991324374</v>
      </c>
      <c r="N257" s="11">
        <f t="shared" si="63"/>
        <v>1306.7691119485676</v>
      </c>
      <c r="O257" s="11">
        <f t="shared" si="64"/>
        <v>179560.85186202457</v>
      </c>
      <c r="P257" s="11">
        <f t="shared" si="65"/>
        <v>753151.8073832473</v>
      </c>
      <c r="Q257" s="11">
        <f t="shared" si="66"/>
        <v>573590.95552122267</v>
      </c>
      <c r="R257" s="11">
        <f t="shared" si="67"/>
        <v>-935.79112067368385</v>
      </c>
      <c r="S257" s="11">
        <f t="shared" si="68"/>
        <v>-1538.6831905869276</v>
      </c>
      <c r="T257" s="11">
        <f t="shared" si="56"/>
        <v>658.00958094754378</v>
      </c>
    </row>
    <row r="258" spans="1:20">
      <c r="A258">
        <v>248</v>
      </c>
      <c r="B258" s="12">
        <f t="shared" si="54"/>
        <v>3819.3223637236229</v>
      </c>
      <c r="C258" s="12">
        <f t="shared" si="69"/>
        <v>1197.0723457468305</v>
      </c>
      <c r="D258" s="12">
        <f t="shared" si="70"/>
        <v>2622.2500179767922</v>
      </c>
      <c r="E258" s="12">
        <f t="shared" si="71"/>
        <v>356499.45370607235</v>
      </c>
      <c r="F258" s="12">
        <f t="shared" si="57"/>
        <v>1508814.1207911056</v>
      </c>
      <c r="G258" s="12">
        <f t="shared" si="58"/>
        <v>1152314.6670850331</v>
      </c>
      <c r="H258" s="12">
        <f t="shared" si="59"/>
        <v>-696.31771674509434</v>
      </c>
      <c r="I258" s="12">
        <f t="shared" si="60"/>
        <v>-1893.3900624919247</v>
      </c>
      <c r="J258" s="12">
        <f t="shared" si="55"/>
        <v>747.03464889250972</v>
      </c>
      <c r="K258" s="12"/>
      <c r="L258" s="11">
        <f t="shared" si="61"/>
        <v>1909.6611818618114</v>
      </c>
      <c r="M258" s="11">
        <f t="shared" si="62"/>
        <v>598.53617287341524</v>
      </c>
      <c r="N258" s="11">
        <f t="shared" si="63"/>
        <v>1311.1250089883961</v>
      </c>
      <c r="O258" s="11">
        <f t="shared" si="64"/>
        <v>178249.72685303618</v>
      </c>
      <c r="P258" s="11">
        <f t="shared" si="65"/>
        <v>754407.06039555278</v>
      </c>
      <c r="Q258" s="11">
        <f t="shared" si="66"/>
        <v>576157.33354251657</v>
      </c>
      <c r="R258" s="11">
        <f t="shared" si="67"/>
        <v>-937.35077254147336</v>
      </c>
      <c r="S258" s="11">
        <f t="shared" si="68"/>
        <v>-1535.8869454148885</v>
      </c>
      <c r="T258" s="11">
        <f t="shared" si="56"/>
        <v>664.46698073880725</v>
      </c>
    </row>
    <row r="259" spans="1:20">
      <c r="A259">
        <v>249</v>
      </c>
      <c r="B259" s="12">
        <f t="shared" si="54"/>
        <v>3819.3223637236229</v>
      </c>
      <c r="C259" s="12">
        <f t="shared" si="69"/>
        <v>1188.3315123535747</v>
      </c>
      <c r="D259" s="12">
        <f t="shared" si="70"/>
        <v>2630.9908513700484</v>
      </c>
      <c r="E259" s="12">
        <f t="shared" si="71"/>
        <v>353868.46285470232</v>
      </c>
      <c r="F259" s="12">
        <f t="shared" si="57"/>
        <v>1511328.8109924241</v>
      </c>
      <c r="G259" s="12">
        <f t="shared" si="58"/>
        <v>1157460.3481377219</v>
      </c>
      <c r="H259" s="12">
        <f t="shared" si="59"/>
        <v>-697.47824627300281</v>
      </c>
      <c r="I259" s="12">
        <f t="shared" si="60"/>
        <v>-1885.8097586265776</v>
      </c>
      <c r="J259" s="12">
        <f t="shared" si="55"/>
        <v>759.01566061016456</v>
      </c>
      <c r="K259" s="12"/>
      <c r="L259" s="11">
        <f t="shared" si="61"/>
        <v>1909.6611818618114</v>
      </c>
      <c r="M259" s="11">
        <f t="shared" si="62"/>
        <v>594.16575617678734</v>
      </c>
      <c r="N259" s="11">
        <f t="shared" si="63"/>
        <v>1315.4954256850242</v>
      </c>
      <c r="O259" s="11">
        <f t="shared" si="64"/>
        <v>176934.23142735116</v>
      </c>
      <c r="P259" s="11">
        <f t="shared" si="65"/>
        <v>755664.40549621207</v>
      </c>
      <c r="Q259" s="11">
        <f t="shared" si="66"/>
        <v>578730.17406886094</v>
      </c>
      <c r="R259" s="11">
        <f t="shared" si="67"/>
        <v>-938.91302382904257</v>
      </c>
      <c r="S259" s="11">
        <f t="shared" si="68"/>
        <v>-1533.0787800058299</v>
      </c>
      <c r="T259" s="11">
        <f t="shared" si="56"/>
        <v>670.94240269145553</v>
      </c>
    </row>
    <row r="260" spans="1:20">
      <c r="A260">
        <v>250</v>
      </c>
      <c r="B260" s="12">
        <f t="shared" si="54"/>
        <v>3819.3223637236229</v>
      </c>
      <c r="C260" s="12">
        <f t="shared" si="69"/>
        <v>1179.5615428490078</v>
      </c>
      <c r="D260" s="12">
        <f t="shared" si="70"/>
        <v>2639.7608208746151</v>
      </c>
      <c r="E260" s="12">
        <f t="shared" si="71"/>
        <v>351228.70203382772</v>
      </c>
      <c r="F260" s="12">
        <f t="shared" si="57"/>
        <v>1513847.6923440783</v>
      </c>
      <c r="G260" s="12">
        <f t="shared" si="58"/>
        <v>1162618.9903102505</v>
      </c>
      <c r="H260" s="12">
        <f t="shared" si="59"/>
        <v>-698.64071001679122</v>
      </c>
      <c r="I260" s="12">
        <f t="shared" si="60"/>
        <v>-1878.202252865799</v>
      </c>
      <c r="J260" s="12">
        <f t="shared" si="55"/>
        <v>771.0312087363377</v>
      </c>
      <c r="K260" s="12"/>
      <c r="L260" s="11">
        <f t="shared" si="61"/>
        <v>1909.6611818618114</v>
      </c>
      <c r="M260" s="11">
        <f t="shared" si="62"/>
        <v>589.78077142450388</v>
      </c>
      <c r="N260" s="11">
        <f t="shared" si="63"/>
        <v>1319.8804104373075</v>
      </c>
      <c r="O260" s="11">
        <f t="shared" si="64"/>
        <v>175614.35101691386</v>
      </c>
      <c r="P260" s="11">
        <f t="shared" si="65"/>
        <v>756923.84617203916</v>
      </c>
      <c r="Q260" s="11">
        <f t="shared" si="66"/>
        <v>581309.49515512527</v>
      </c>
      <c r="R260" s="11">
        <f t="shared" si="67"/>
        <v>-940.47787886875767</v>
      </c>
      <c r="S260" s="11">
        <f t="shared" si="68"/>
        <v>-1530.2586502932616</v>
      </c>
      <c r="T260" s="11">
        <f t="shared" si="56"/>
        <v>677.43590104185273</v>
      </c>
    </row>
    <row r="261" spans="1:20">
      <c r="A261">
        <v>251</v>
      </c>
      <c r="B261" s="12">
        <f t="shared" si="54"/>
        <v>3819.3223637236229</v>
      </c>
      <c r="C261" s="12">
        <f t="shared" si="69"/>
        <v>1170.7623401127591</v>
      </c>
      <c r="D261" s="12">
        <f t="shared" si="70"/>
        <v>2648.5600236108639</v>
      </c>
      <c r="E261" s="12">
        <f t="shared" si="71"/>
        <v>348580.14201021683</v>
      </c>
      <c r="F261" s="12">
        <f t="shared" si="57"/>
        <v>1516370.7718313185</v>
      </c>
      <c r="G261" s="12">
        <f t="shared" si="58"/>
        <v>1167790.6298211017</v>
      </c>
      <c r="H261" s="12">
        <f t="shared" si="59"/>
        <v>-699.80511120015251</v>
      </c>
      <c r="I261" s="12">
        <f t="shared" si="60"/>
        <v>-1870.5674513129115</v>
      </c>
      <c r="J261" s="12">
        <f t="shared" si="55"/>
        <v>783.0813993918955</v>
      </c>
      <c r="K261" s="12"/>
      <c r="L261" s="11">
        <f t="shared" si="61"/>
        <v>1909.6611818618114</v>
      </c>
      <c r="M261" s="11">
        <f t="shared" si="62"/>
        <v>585.38117005637957</v>
      </c>
      <c r="N261" s="11">
        <f t="shared" si="63"/>
        <v>1324.280011805432</v>
      </c>
      <c r="O261" s="11">
        <f t="shared" si="64"/>
        <v>174290.07100510842</v>
      </c>
      <c r="P261" s="11">
        <f t="shared" si="65"/>
        <v>758185.38591565925</v>
      </c>
      <c r="Q261" s="11">
        <f t="shared" si="66"/>
        <v>583895.31491055083</v>
      </c>
      <c r="R261" s="11">
        <f t="shared" si="67"/>
        <v>-942.04534200020566</v>
      </c>
      <c r="S261" s="11">
        <f t="shared" si="68"/>
        <v>-1527.4265120565851</v>
      </c>
      <c r="T261" s="11">
        <f t="shared" si="56"/>
        <v>683.94753019742075</v>
      </c>
    </row>
    <row r="262" spans="1:20">
      <c r="A262">
        <v>252</v>
      </c>
      <c r="B262" s="12">
        <f t="shared" si="54"/>
        <v>3819.3223637236229</v>
      </c>
      <c r="C262" s="12">
        <f t="shared" si="69"/>
        <v>1161.9338067007227</v>
      </c>
      <c r="D262" s="12">
        <f t="shared" si="70"/>
        <v>2657.3885570229004</v>
      </c>
      <c r="E262" s="12">
        <f t="shared" si="71"/>
        <v>345922.75345319393</v>
      </c>
      <c r="F262" s="12">
        <f t="shared" si="57"/>
        <v>1518898.0564510375</v>
      </c>
      <c r="G262" s="12">
        <f t="shared" si="58"/>
        <v>1172975.3029978436</v>
      </c>
      <c r="H262" s="12">
        <f t="shared" si="59"/>
        <v>-700.97145305215281</v>
      </c>
      <c r="I262" s="12">
        <f t="shared" si="60"/>
        <v>-1862.9052597528755</v>
      </c>
      <c r="J262" s="12">
        <f t="shared" si="55"/>
        <v>795.16633903643992</v>
      </c>
      <c r="K262" s="12"/>
      <c r="L262" s="11">
        <f t="shared" si="61"/>
        <v>1909.6611818618114</v>
      </c>
      <c r="M262" s="11">
        <f t="shared" si="62"/>
        <v>580.96690335036135</v>
      </c>
      <c r="N262" s="11">
        <f t="shared" si="63"/>
        <v>1328.6942785114502</v>
      </c>
      <c r="O262" s="11">
        <f t="shared" si="64"/>
        <v>172961.37672659697</v>
      </c>
      <c r="P262" s="11">
        <f t="shared" si="65"/>
        <v>759449.02822551876</v>
      </c>
      <c r="Q262" s="11">
        <f t="shared" si="66"/>
        <v>586487.6514989218</v>
      </c>
      <c r="R262" s="11">
        <f t="shared" si="67"/>
        <v>-943.61541757020609</v>
      </c>
      <c r="S262" s="11">
        <f t="shared" si="68"/>
        <v>-1524.5823209205673</v>
      </c>
      <c r="T262" s="11">
        <f t="shared" si="56"/>
        <v>690.47734473719584</v>
      </c>
    </row>
    <row r="263" spans="1:20">
      <c r="A263">
        <v>253</v>
      </c>
      <c r="B263" s="12">
        <f t="shared" si="54"/>
        <v>3819.3223637236229</v>
      </c>
      <c r="C263" s="12">
        <f t="shared" si="69"/>
        <v>1153.0758448439799</v>
      </c>
      <c r="D263" s="12">
        <f t="shared" si="70"/>
        <v>2666.2465188796432</v>
      </c>
      <c r="E263" s="12">
        <f t="shared" si="71"/>
        <v>343256.50693431427</v>
      </c>
      <c r="F263" s="12">
        <f t="shared" si="57"/>
        <v>1521429.5532117893</v>
      </c>
      <c r="G263" s="12">
        <f t="shared" si="58"/>
        <v>1178173.0462774751</v>
      </c>
      <c r="H263" s="12">
        <f t="shared" si="59"/>
        <v>-702.13973880723972</v>
      </c>
      <c r="I263" s="12">
        <f t="shared" si="60"/>
        <v>-1855.2155836512197</v>
      </c>
      <c r="J263" s="12">
        <f t="shared" si="55"/>
        <v>807.28613446941154</v>
      </c>
      <c r="K263" s="12"/>
      <c r="L263" s="11">
        <f t="shared" si="61"/>
        <v>1909.6611818618114</v>
      </c>
      <c r="M263" s="11">
        <f t="shared" si="62"/>
        <v>576.53792242198995</v>
      </c>
      <c r="N263" s="11">
        <f t="shared" si="63"/>
        <v>1333.1232594398216</v>
      </c>
      <c r="O263" s="11">
        <f t="shared" si="64"/>
        <v>171628.25346715713</v>
      </c>
      <c r="P263" s="11">
        <f t="shared" si="65"/>
        <v>760714.77660589467</v>
      </c>
      <c r="Q263" s="11">
        <f t="shared" si="66"/>
        <v>589086.52313873754</v>
      </c>
      <c r="R263" s="11">
        <f t="shared" si="67"/>
        <v>-945.18810993282318</v>
      </c>
      <c r="S263" s="11">
        <f t="shared" si="68"/>
        <v>-1521.726032354813</v>
      </c>
      <c r="T263" s="11">
        <f t="shared" si="56"/>
        <v>697.02539941238001</v>
      </c>
    </row>
    <row r="264" spans="1:20">
      <c r="A264">
        <v>254</v>
      </c>
      <c r="B264" s="12">
        <f t="shared" si="54"/>
        <v>3819.3223637236229</v>
      </c>
      <c r="C264" s="12">
        <f t="shared" si="69"/>
        <v>1144.1883564477141</v>
      </c>
      <c r="D264" s="12">
        <f t="shared" si="70"/>
        <v>2675.1340072759085</v>
      </c>
      <c r="E264" s="12">
        <f t="shared" si="71"/>
        <v>340581.37292703835</v>
      </c>
      <c r="F264" s="12">
        <f t="shared" si="57"/>
        <v>1523965.269133809</v>
      </c>
      <c r="G264" s="12">
        <f t="shared" si="58"/>
        <v>1183383.8962067706</v>
      </c>
      <c r="H264" s="12">
        <f t="shared" si="59"/>
        <v>-703.30997170525177</v>
      </c>
      <c r="I264" s="12">
        <f t="shared" si="60"/>
        <v>-1847.4983281529658</v>
      </c>
      <c r="J264" s="12">
        <f t="shared" si="55"/>
        <v>819.44089283119956</v>
      </c>
      <c r="K264" s="12"/>
      <c r="L264" s="11">
        <f t="shared" si="61"/>
        <v>1909.6611818618114</v>
      </c>
      <c r="M264" s="11">
        <f t="shared" si="62"/>
        <v>572.09417822385706</v>
      </c>
      <c r="N264" s="11">
        <f t="shared" si="63"/>
        <v>1337.5670036379543</v>
      </c>
      <c r="O264" s="11">
        <f t="shared" si="64"/>
        <v>170290.68646351917</v>
      </c>
      <c r="P264" s="11">
        <f t="shared" si="65"/>
        <v>761982.63456690451</v>
      </c>
      <c r="Q264" s="11">
        <f t="shared" si="66"/>
        <v>591691.94810338528</v>
      </c>
      <c r="R264" s="11">
        <f t="shared" si="67"/>
        <v>-946.76342344937791</v>
      </c>
      <c r="S264" s="11">
        <f t="shared" si="68"/>
        <v>-1518.857601673235</v>
      </c>
      <c r="T264" s="11">
        <f t="shared" si="56"/>
        <v>703.59174914690311</v>
      </c>
    </row>
    <row r="265" spans="1:20">
      <c r="A265">
        <v>255</v>
      </c>
      <c r="B265" s="12">
        <f t="shared" si="54"/>
        <v>3819.3223637236229</v>
      </c>
      <c r="C265" s="12">
        <f t="shared" si="69"/>
        <v>1135.2712430901279</v>
      </c>
      <c r="D265" s="12">
        <f t="shared" si="70"/>
        <v>2684.051120633495</v>
      </c>
      <c r="E265" s="12">
        <f t="shared" si="71"/>
        <v>337897.32180640486</v>
      </c>
      <c r="F265" s="12">
        <f t="shared" si="57"/>
        <v>1526505.2112490321</v>
      </c>
      <c r="G265" s="12">
        <f t="shared" si="58"/>
        <v>1188607.8894426273</v>
      </c>
      <c r="H265" s="12">
        <f t="shared" si="59"/>
        <v>-704.48215499142725</v>
      </c>
      <c r="I265" s="12">
        <f t="shared" si="60"/>
        <v>-1839.7533980815551</v>
      </c>
      <c r="J265" s="12">
        <f t="shared" si="55"/>
        <v>831.63072160425054</v>
      </c>
      <c r="K265" s="12"/>
      <c r="L265" s="11">
        <f t="shared" si="61"/>
        <v>1909.6611818618114</v>
      </c>
      <c r="M265" s="11">
        <f t="shared" si="62"/>
        <v>567.63562154506394</v>
      </c>
      <c r="N265" s="11">
        <f t="shared" si="63"/>
        <v>1342.0255603167475</v>
      </c>
      <c r="O265" s="11">
        <f t="shared" si="64"/>
        <v>168948.66090320243</v>
      </c>
      <c r="P265" s="11">
        <f t="shared" si="65"/>
        <v>763252.60562451603</v>
      </c>
      <c r="Q265" s="11">
        <f t="shared" si="66"/>
        <v>594303.94472131366</v>
      </c>
      <c r="R265" s="11">
        <f t="shared" si="67"/>
        <v>-948.34136248846028</v>
      </c>
      <c r="S265" s="11">
        <f t="shared" si="68"/>
        <v>-1515.9769840335243</v>
      </c>
      <c r="T265" s="11">
        <f t="shared" si="56"/>
        <v>710.17644903798055</v>
      </c>
    </row>
    <row r="266" spans="1:20">
      <c r="A266">
        <v>256</v>
      </c>
      <c r="B266" s="12">
        <f t="shared" si="54"/>
        <v>3819.3223637236229</v>
      </c>
      <c r="C266" s="12">
        <f t="shared" si="69"/>
        <v>1126.3244060213494</v>
      </c>
      <c r="D266" s="12">
        <f t="shared" si="70"/>
        <v>2692.9979577022732</v>
      </c>
      <c r="E266" s="12">
        <f t="shared" si="71"/>
        <v>335204.3238487026</v>
      </c>
      <c r="F266" s="12">
        <f t="shared" si="57"/>
        <v>1529049.3866011139</v>
      </c>
      <c r="G266" s="12">
        <f t="shared" si="58"/>
        <v>1193845.0627524112</v>
      </c>
      <c r="H266" s="12">
        <f t="shared" si="59"/>
        <v>-705.65629191641301</v>
      </c>
      <c r="I266" s="12">
        <f t="shared" si="60"/>
        <v>-1831.9806979377624</v>
      </c>
      <c r="J266" s="12">
        <f t="shared" si="55"/>
        <v>843.85572861418655</v>
      </c>
      <c r="K266" s="12"/>
      <c r="L266" s="11">
        <f t="shared" si="61"/>
        <v>1909.6611818618114</v>
      </c>
      <c r="M266" s="11">
        <f t="shared" si="62"/>
        <v>563.16220301067472</v>
      </c>
      <c r="N266" s="11">
        <f t="shared" si="63"/>
        <v>1346.4989788511366</v>
      </c>
      <c r="O266" s="11">
        <f t="shared" si="64"/>
        <v>167602.1619243513</v>
      </c>
      <c r="P266" s="11">
        <f t="shared" si="65"/>
        <v>764524.69330055697</v>
      </c>
      <c r="Q266" s="11">
        <f t="shared" si="66"/>
        <v>596922.53137620562</v>
      </c>
      <c r="R266" s="11">
        <f t="shared" si="67"/>
        <v>-949.92193142594112</v>
      </c>
      <c r="S266" s="11">
        <f t="shared" si="68"/>
        <v>-1513.0841344366158</v>
      </c>
      <c r="T266" s="11">
        <f t="shared" si="56"/>
        <v>716.77955435667491</v>
      </c>
    </row>
    <row r="267" spans="1:20">
      <c r="A267">
        <v>257</v>
      </c>
      <c r="B267" s="12">
        <f t="shared" si="54"/>
        <v>3819.3223637236229</v>
      </c>
      <c r="C267" s="12">
        <f t="shared" si="69"/>
        <v>1117.347746162342</v>
      </c>
      <c r="D267" s="12">
        <f t="shared" si="70"/>
        <v>2701.9746175612809</v>
      </c>
      <c r="E267" s="12">
        <f t="shared" si="71"/>
        <v>332502.34923114133</v>
      </c>
      <c r="F267" s="12">
        <f t="shared" si="57"/>
        <v>1531597.8022454493</v>
      </c>
      <c r="G267" s="12">
        <f t="shared" si="58"/>
        <v>1199095.4530143079</v>
      </c>
      <c r="H267" s="12">
        <f t="shared" si="59"/>
        <v>-706.83238573627375</v>
      </c>
      <c r="I267" s="12">
        <f t="shared" si="60"/>
        <v>-1824.1801318986159</v>
      </c>
      <c r="J267" s="12">
        <f t="shared" si="55"/>
        <v>856.11602203092025</v>
      </c>
      <c r="K267" s="12"/>
      <c r="L267" s="11">
        <f t="shared" si="61"/>
        <v>1909.6611818618114</v>
      </c>
      <c r="M267" s="11">
        <f t="shared" si="62"/>
        <v>558.673873081171</v>
      </c>
      <c r="N267" s="11">
        <f t="shared" si="63"/>
        <v>1350.9873087806404</v>
      </c>
      <c r="O267" s="11">
        <f t="shared" si="64"/>
        <v>166251.17461557066</v>
      </c>
      <c r="P267" s="11">
        <f t="shared" si="65"/>
        <v>765798.90112272464</v>
      </c>
      <c r="Q267" s="11">
        <f t="shared" si="66"/>
        <v>599547.72650715394</v>
      </c>
      <c r="R267" s="11">
        <f t="shared" si="67"/>
        <v>-951.50513464498442</v>
      </c>
      <c r="S267" s="11">
        <f t="shared" si="68"/>
        <v>-1510.1790077261553</v>
      </c>
      <c r="T267" s="11">
        <f t="shared" si="56"/>
        <v>723.40112054845804</v>
      </c>
    </row>
    <row r="268" spans="1:20">
      <c r="A268">
        <v>258</v>
      </c>
      <c r="B268" s="12">
        <f t="shared" ref="B268:B331" si="72">$C$5*($A$2/12*(1+$A$2/12)^(12*30))/((1+$A$2/12)^(30*12)-1)</f>
        <v>3819.3223637236229</v>
      </c>
      <c r="C268" s="12">
        <f t="shared" si="69"/>
        <v>1108.3411641038044</v>
      </c>
      <c r="D268" s="12">
        <f t="shared" si="70"/>
        <v>2710.9811996198187</v>
      </c>
      <c r="E268" s="12">
        <f t="shared" si="71"/>
        <v>329791.3680315215</v>
      </c>
      <c r="F268" s="12">
        <f t="shared" si="57"/>
        <v>1534150.4652491917</v>
      </c>
      <c r="G268" s="12">
        <f t="shared" si="58"/>
        <v>1204359.0972176702</v>
      </c>
      <c r="H268" s="12">
        <f t="shared" si="59"/>
        <v>-708.0104397125009</v>
      </c>
      <c r="I268" s="12">
        <f t="shared" si="60"/>
        <v>-1816.3516038163052</v>
      </c>
      <c r="J268" s="12">
        <f t="shared" ref="J268:J331" si="73">F268*$H$5/12*(1-$C$2)+I268</f>
        <v>868.41171036977994</v>
      </c>
      <c r="K268" s="12"/>
      <c r="L268" s="11">
        <f t="shared" si="61"/>
        <v>1909.6611818618114</v>
      </c>
      <c r="M268" s="11">
        <f t="shared" si="62"/>
        <v>554.17058205190222</v>
      </c>
      <c r="N268" s="11">
        <f t="shared" si="63"/>
        <v>1355.4905998099093</v>
      </c>
      <c r="O268" s="11">
        <f t="shared" si="64"/>
        <v>164895.68401576075</v>
      </c>
      <c r="P268" s="11">
        <f t="shared" si="65"/>
        <v>767075.23262459587</v>
      </c>
      <c r="Q268" s="11">
        <f t="shared" si="66"/>
        <v>602179.54860883509</v>
      </c>
      <c r="R268" s="11">
        <f t="shared" si="67"/>
        <v>-953.09097653605943</v>
      </c>
      <c r="S268" s="11">
        <f t="shared" si="68"/>
        <v>-1507.2615585879616</v>
      </c>
      <c r="T268" s="11">
        <f t="shared" ref="T268:T331" si="74">P268*$H$6/12*(1-$C$2)+S268</f>
        <v>730.04120323377629</v>
      </c>
    </row>
    <row r="269" spans="1:20">
      <c r="A269">
        <v>259</v>
      </c>
      <c r="B269" s="12">
        <f t="shared" si="72"/>
        <v>3819.3223637236229</v>
      </c>
      <c r="C269" s="12">
        <f t="shared" si="69"/>
        <v>1099.3045601050717</v>
      </c>
      <c r="D269" s="12">
        <f t="shared" si="70"/>
        <v>2720.0178036185512</v>
      </c>
      <c r="E269" s="12">
        <f t="shared" si="71"/>
        <v>327071.35022790293</v>
      </c>
      <c r="F269" s="12">
        <f t="shared" ref="F269:F332" si="75">F268*(1+$D$5/12)</f>
        <v>1536707.3826912737</v>
      </c>
      <c r="G269" s="12">
        <f t="shared" ref="G269:G332" si="76">F269-E269</f>
        <v>1209636.0324633708</v>
      </c>
      <c r="H269" s="12">
        <f t="shared" ref="H269:H332" si="77">H268*(1+$D$2/12)</f>
        <v>-709.1904571120217</v>
      </c>
      <c r="I269" s="12">
        <f t="shared" ref="I269:I332" si="78">0-C269+H269</f>
        <v>-1808.4950172170934</v>
      </c>
      <c r="J269" s="12">
        <f t="shared" si="73"/>
        <v>880.74290249263549</v>
      </c>
      <c r="K269" s="12"/>
      <c r="L269" s="11">
        <f t="shared" ref="L269:L332" si="79">$C$6*($A$2/12*(1+$A$2/12)^(12*30))/((1+$A$2/12)^(30*12)-1)</f>
        <v>1909.6611818618114</v>
      </c>
      <c r="M269" s="11">
        <f t="shared" ref="M269:M332" si="80">O268*$A$2/12</f>
        <v>549.65228005253584</v>
      </c>
      <c r="N269" s="11">
        <f t="shared" ref="N269:N332" si="81">L269-M269</f>
        <v>1360.0089018092756</v>
      </c>
      <c r="O269" s="11">
        <f t="shared" ref="O269:O332" si="82">O268-N269</f>
        <v>163535.67511395147</v>
      </c>
      <c r="P269" s="11">
        <f t="shared" ref="P269:P332" si="83">P268*(1+$D$6/12)</f>
        <v>768353.69134563685</v>
      </c>
      <c r="Q269" s="11">
        <f t="shared" ref="Q269:Q332" si="84">P269-O269</f>
        <v>604818.01623168541</v>
      </c>
      <c r="R269" s="11">
        <f t="shared" ref="R269:R332" si="85">R268*(1+$D$2/12)</f>
        <v>-954.67946149695285</v>
      </c>
      <c r="S269" s="11">
        <f t="shared" ref="S269:S332" si="86">0-M269+R269</f>
        <v>-1504.3317415494887</v>
      </c>
      <c r="T269" s="11">
        <f t="shared" si="74"/>
        <v>736.69985820861871</v>
      </c>
    </row>
    <row r="270" spans="1:20">
      <c r="A270">
        <v>260</v>
      </c>
      <c r="B270" s="12">
        <f t="shared" si="72"/>
        <v>3819.3223637236229</v>
      </c>
      <c r="C270" s="12">
        <f t="shared" ref="C270:C333" si="87">E269*$A$2/12</f>
        <v>1090.2378340930097</v>
      </c>
      <c r="D270" s="12">
        <f t="shared" ref="D270:D333" si="88">B270-C270</f>
        <v>2729.0845296306134</v>
      </c>
      <c r="E270" s="12">
        <f t="shared" ref="E270:E333" si="89">E269-D270</f>
        <v>324342.26569827233</v>
      </c>
      <c r="F270" s="12">
        <f t="shared" si="75"/>
        <v>1539268.561662426</v>
      </c>
      <c r="G270" s="12">
        <f t="shared" si="76"/>
        <v>1214926.2959641537</v>
      </c>
      <c r="H270" s="12">
        <f t="shared" si="77"/>
        <v>-710.37244120720845</v>
      </c>
      <c r="I270" s="12">
        <f t="shared" si="78"/>
        <v>-1800.6102753002183</v>
      </c>
      <c r="J270" s="12">
        <f t="shared" si="73"/>
        <v>893.10970760902683</v>
      </c>
      <c r="K270" s="12"/>
      <c r="L270" s="11">
        <f t="shared" si="79"/>
        <v>1909.6611818618114</v>
      </c>
      <c r="M270" s="11">
        <f t="shared" si="80"/>
        <v>545.11891704650486</v>
      </c>
      <c r="N270" s="11">
        <f t="shared" si="81"/>
        <v>1364.5422648153067</v>
      </c>
      <c r="O270" s="11">
        <f t="shared" si="82"/>
        <v>162171.13284913616</v>
      </c>
      <c r="P270" s="11">
        <f t="shared" si="83"/>
        <v>769634.28083121299</v>
      </c>
      <c r="Q270" s="11">
        <f t="shared" si="84"/>
        <v>607463.14798207686</v>
      </c>
      <c r="R270" s="11">
        <f t="shared" si="85"/>
        <v>-956.27059393278114</v>
      </c>
      <c r="S270" s="11">
        <f t="shared" si="86"/>
        <v>-1501.3895109792861</v>
      </c>
      <c r="T270" s="11">
        <f t="shared" si="74"/>
        <v>743.37714144508482</v>
      </c>
    </row>
    <row r="271" spans="1:20">
      <c r="A271">
        <v>261</v>
      </c>
      <c r="B271" s="12">
        <f t="shared" si="72"/>
        <v>3819.3223637236229</v>
      </c>
      <c r="C271" s="12">
        <f t="shared" si="87"/>
        <v>1081.1408856609078</v>
      </c>
      <c r="D271" s="12">
        <f t="shared" si="88"/>
        <v>2738.1814780627151</v>
      </c>
      <c r="E271" s="12">
        <f t="shared" si="89"/>
        <v>321604.08422020962</v>
      </c>
      <c r="F271" s="12">
        <f t="shared" si="75"/>
        <v>1541834.0092651967</v>
      </c>
      <c r="G271" s="12">
        <f t="shared" si="76"/>
        <v>1220229.9250449871</v>
      </c>
      <c r="H271" s="12">
        <f t="shared" si="77"/>
        <v>-711.55639527588721</v>
      </c>
      <c r="I271" s="12">
        <f t="shared" si="78"/>
        <v>-1792.6972809367949</v>
      </c>
      <c r="J271" s="12">
        <f t="shared" si="73"/>
        <v>905.51223527729917</v>
      </c>
      <c r="K271" s="12"/>
      <c r="L271" s="11">
        <f t="shared" si="79"/>
        <v>1909.6611818618114</v>
      </c>
      <c r="M271" s="11">
        <f t="shared" si="80"/>
        <v>540.57044283045389</v>
      </c>
      <c r="N271" s="11">
        <f t="shared" si="81"/>
        <v>1369.0907390313575</v>
      </c>
      <c r="O271" s="11">
        <f t="shared" si="82"/>
        <v>160802.04211010481</v>
      </c>
      <c r="P271" s="11">
        <f t="shared" si="83"/>
        <v>770917.00463259837</v>
      </c>
      <c r="Q271" s="11">
        <f t="shared" si="84"/>
        <v>610114.96252249356</v>
      </c>
      <c r="R271" s="11">
        <f t="shared" si="85"/>
        <v>-957.86437825600251</v>
      </c>
      <c r="S271" s="11">
        <f t="shared" si="86"/>
        <v>-1498.4348210864564</v>
      </c>
      <c r="T271" s="11">
        <f t="shared" si="74"/>
        <v>750.07310909195576</v>
      </c>
    </row>
    <row r="272" spans="1:20">
      <c r="A272">
        <v>262</v>
      </c>
      <c r="B272" s="12">
        <f t="shared" si="72"/>
        <v>3819.3223637236229</v>
      </c>
      <c r="C272" s="12">
        <f t="shared" si="87"/>
        <v>1072.0136140673656</v>
      </c>
      <c r="D272" s="12">
        <f t="shared" si="88"/>
        <v>2747.3087496562575</v>
      </c>
      <c r="E272" s="12">
        <f t="shared" si="89"/>
        <v>318856.77547055337</v>
      </c>
      <c r="F272" s="12">
        <f t="shared" si="75"/>
        <v>1544403.7326139722</v>
      </c>
      <c r="G272" s="12">
        <f t="shared" si="76"/>
        <v>1225546.9571434187</v>
      </c>
      <c r="H272" s="12">
        <f t="shared" si="77"/>
        <v>-712.74232260134704</v>
      </c>
      <c r="I272" s="12">
        <f t="shared" si="78"/>
        <v>-1784.7559366687126</v>
      </c>
      <c r="J272" s="12">
        <f t="shared" si="73"/>
        <v>917.95059540573834</v>
      </c>
      <c r="K272" s="12"/>
      <c r="L272" s="11">
        <f t="shared" si="79"/>
        <v>1909.6611818618114</v>
      </c>
      <c r="M272" s="11">
        <f t="shared" si="80"/>
        <v>536.00680703368278</v>
      </c>
      <c r="N272" s="11">
        <f t="shared" si="81"/>
        <v>1373.6543748281288</v>
      </c>
      <c r="O272" s="11">
        <f t="shared" si="82"/>
        <v>159428.38773527669</v>
      </c>
      <c r="P272" s="11">
        <f t="shared" si="83"/>
        <v>772201.86630698608</v>
      </c>
      <c r="Q272" s="11">
        <f t="shared" si="84"/>
        <v>612773.47857170936</v>
      </c>
      <c r="R272" s="11">
        <f t="shared" si="85"/>
        <v>-959.46081888642925</v>
      </c>
      <c r="S272" s="11">
        <f t="shared" si="86"/>
        <v>-1495.4676259201119</v>
      </c>
      <c r="T272" s="11">
        <f t="shared" si="74"/>
        <v>756.78781747526364</v>
      </c>
    </row>
    <row r="273" spans="1:20">
      <c r="A273">
        <v>263</v>
      </c>
      <c r="B273" s="12">
        <f t="shared" si="72"/>
        <v>3819.3223637236229</v>
      </c>
      <c r="C273" s="12">
        <f t="shared" si="87"/>
        <v>1062.855918235178</v>
      </c>
      <c r="D273" s="12">
        <f t="shared" si="88"/>
        <v>2756.4664454884451</v>
      </c>
      <c r="E273" s="12">
        <f t="shared" si="89"/>
        <v>316100.30902506493</v>
      </c>
      <c r="F273" s="12">
        <f t="shared" si="75"/>
        <v>1546977.7388349955</v>
      </c>
      <c r="G273" s="12">
        <f t="shared" si="76"/>
        <v>1230877.4298099307</v>
      </c>
      <c r="H273" s="12">
        <f t="shared" si="77"/>
        <v>-713.93022647234932</v>
      </c>
      <c r="I273" s="12">
        <f t="shared" si="78"/>
        <v>-1776.7861447075275</v>
      </c>
      <c r="J273" s="12">
        <f t="shared" si="73"/>
        <v>930.42489825371422</v>
      </c>
      <c r="K273" s="12"/>
      <c r="L273" s="11">
        <f t="shared" si="79"/>
        <v>1909.6611818618114</v>
      </c>
      <c r="M273" s="11">
        <f t="shared" si="80"/>
        <v>531.42795911758901</v>
      </c>
      <c r="N273" s="11">
        <f t="shared" si="81"/>
        <v>1378.2332227442225</v>
      </c>
      <c r="O273" s="11">
        <f t="shared" si="82"/>
        <v>158050.15451253246</v>
      </c>
      <c r="P273" s="11">
        <f t="shared" si="83"/>
        <v>773488.86941749777</v>
      </c>
      <c r="Q273" s="11">
        <f t="shared" si="84"/>
        <v>615438.71490496537</v>
      </c>
      <c r="R273" s="11">
        <f t="shared" si="85"/>
        <v>-961.05992025123999</v>
      </c>
      <c r="S273" s="11">
        <f t="shared" si="86"/>
        <v>-1492.487879368829</v>
      </c>
      <c r="T273" s="11">
        <f t="shared" si="74"/>
        <v>763.52132309887247</v>
      </c>
    </row>
    <row r="274" spans="1:20">
      <c r="A274">
        <v>264</v>
      </c>
      <c r="B274" s="12">
        <f t="shared" si="72"/>
        <v>3819.3223637236229</v>
      </c>
      <c r="C274" s="12">
        <f t="shared" si="87"/>
        <v>1053.6676967502165</v>
      </c>
      <c r="D274" s="12">
        <f t="shared" si="88"/>
        <v>2765.6546669734062</v>
      </c>
      <c r="E274" s="12">
        <f t="shared" si="89"/>
        <v>313334.65435809153</v>
      </c>
      <c r="F274" s="12">
        <f t="shared" si="75"/>
        <v>1549556.0350663872</v>
      </c>
      <c r="G274" s="12">
        <f t="shared" si="76"/>
        <v>1236221.3807082956</v>
      </c>
      <c r="H274" s="12">
        <f t="shared" si="77"/>
        <v>-715.1201101831366</v>
      </c>
      <c r="I274" s="12">
        <f t="shared" si="78"/>
        <v>-1768.7878069333531</v>
      </c>
      <c r="J274" s="12">
        <f t="shared" si="73"/>
        <v>942.93525443282419</v>
      </c>
      <c r="K274" s="12"/>
      <c r="L274" s="11">
        <f t="shared" si="79"/>
        <v>1909.6611818618114</v>
      </c>
      <c r="M274" s="11">
        <f t="shared" si="80"/>
        <v>526.83384837510823</v>
      </c>
      <c r="N274" s="11">
        <f t="shared" si="81"/>
        <v>1382.8273334867031</v>
      </c>
      <c r="O274" s="11">
        <f t="shared" si="82"/>
        <v>156667.32717904577</v>
      </c>
      <c r="P274" s="11">
        <f t="shared" si="83"/>
        <v>774778.01753319358</v>
      </c>
      <c r="Q274" s="11">
        <f t="shared" si="84"/>
        <v>618110.69035414781</v>
      </c>
      <c r="R274" s="11">
        <f t="shared" si="85"/>
        <v>-962.66168678499207</v>
      </c>
      <c r="S274" s="11">
        <f t="shared" si="86"/>
        <v>-1489.4955351601002</v>
      </c>
      <c r="T274" s="11">
        <f t="shared" si="74"/>
        <v>770.27368264504776</v>
      </c>
    </row>
    <row r="275" spans="1:20">
      <c r="A275">
        <v>265</v>
      </c>
      <c r="B275" s="12">
        <f t="shared" si="72"/>
        <v>3819.3223637236229</v>
      </c>
      <c r="C275" s="12">
        <f t="shared" si="87"/>
        <v>1044.448847860305</v>
      </c>
      <c r="D275" s="12">
        <f t="shared" si="88"/>
        <v>2774.8735158633181</v>
      </c>
      <c r="E275" s="12">
        <f t="shared" si="89"/>
        <v>310559.78084222821</v>
      </c>
      <c r="F275" s="12">
        <f t="shared" si="75"/>
        <v>1552138.6284581646</v>
      </c>
      <c r="G275" s="12">
        <f t="shared" si="76"/>
        <v>1241578.8476159363</v>
      </c>
      <c r="H275" s="12">
        <f t="shared" si="77"/>
        <v>-716.31197703344185</v>
      </c>
      <c r="I275" s="12">
        <f t="shared" si="78"/>
        <v>-1760.7608248937468</v>
      </c>
      <c r="J275" s="12">
        <f t="shared" si="73"/>
        <v>955.48177490804119</v>
      </c>
      <c r="K275" s="12"/>
      <c r="L275" s="11">
        <f t="shared" si="79"/>
        <v>1909.6611818618114</v>
      </c>
      <c r="M275" s="11">
        <f t="shared" si="80"/>
        <v>522.22442393015251</v>
      </c>
      <c r="N275" s="11">
        <f t="shared" si="81"/>
        <v>1387.436757931659</v>
      </c>
      <c r="O275" s="11">
        <f t="shared" si="82"/>
        <v>155279.89042111411</v>
      </c>
      <c r="P275" s="11">
        <f t="shared" si="83"/>
        <v>776069.31422908232</v>
      </c>
      <c r="Q275" s="11">
        <f t="shared" si="84"/>
        <v>620789.42380796815</v>
      </c>
      <c r="R275" s="11">
        <f t="shared" si="85"/>
        <v>-964.26612292963375</v>
      </c>
      <c r="S275" s="11">
        <f t="shared" si="86"/>
        <v>-1486.4905468597863</v>
      </c>
      <c r="T275" s="11">
        <f t="shared" si="74"/>
        <v>777.04495297503718</v>
      </c>
    </row>
    <row r="276" spans="1:20">
      <c r="A276">
        <v>266</v>
      </c>
      <c r="B276" s="12">
        <f t="shared" si="72"/>
        <v>3819.3223637236229</v>
      </c>
      <c r="C276" s="12">
        <f t="shared" si="87"/>
        <v>1035.1992694740941</v>
      </c>
      <c r="D276" s="12">
        <f t="shared" si="88"/>
        <v>2784.1230942495285</v>
      </c>
      <c r="E276" s="12">
        <f t="shared" si="89"/>
        <v>307775.65774797869</v>
      </c>
      <c r="F276" s="12">
        <f t="shared" si="75"/>
        <v>1554725.5261722617</v>
      </c>
      <c r="G276" s="12">
        <f t="shared" si="76"/>
        <v>1246949.8684242829</v>
      </c>
      <c r="H276" s="12">
        <f t="shared" si="77"/>
        <v>-717.50583032849761</v>
      </c>
      <c r="I276" s="12">
        <f t="shared" si="78"/>
        <v>-1752.7050998025916</v>
      </c>
      <c r="J276" s="12">
        <f t="shared" si="73"/>
        <v>968.0645709988662</v>
      </c>
      <c r="K276" s="12"/>
      <c r="L276" s="11">
        <f t="shared" si="79"/>
        <v>1909.6611818618114</v>
      </c>
      <c r="M276" s="11">
        <f t="shared" si="80"/>
        <v>517.59963473704704</v>
      </c>
      <c r="N276" s="11">
        <f t="shared" si="81"/>
        <v>1392.0615471247643</v>
      </c>
      <c r="O276" s="11">
        <f t="shared" si="82"/>
        <v>153887.82887398935</v>
      </c>
      <c r="P276" s="11">
        <f t="shared" si="83"/>
        <v>777362.76308613084</v>
      </c>
      <c r="Q276" s="11">
        <f t="shared" si="84"/>
        <v>623474.93421214144</v>
      </c>
      <c r="R276" s="11">
        <f t="shared" si="85"/>
        <v>-965.87323313451657</v>
      </c>
      <c r="S276" s="11">
        <f t="shared" si="86"/>
        <v>-1483.4728678715637</v>
      </c>
      <c r="T276" s="11">
        <f t="shared" si="74"/>
        <v>783.83519112965132</v>
      </c>
    </row>
    <row r="277" spans="1:20">
      <c r="A277">
        <v>267</v>
      </c>
      <c r="B277" s="12">
        <f t="shared" si="72"/>
        <v>3819.3223637236229</v>
      </c>
      <c r="C277" s="12">
        <f t="shared" si="87"/>
        <v>1025.9188591599291</v>
      </c>
      <c r="D277" s="12">
        <f t="shared" si="88"/>
        <v>2793.4035045636938</v>
      </c>
      <c r="E277" s="12">
        <f t="shared" si="89"/>
        <v>304982.25424341502</v>
      </c>
      <c r="F277" s="12">
        <f t="shared" si="75"/>
        <v>1557316.7353825488</v>
      </c>
      <c r="G277" s="12">
        <f t="shared" si="76"/>
        <v>1252334.4811391337</v>
      </c>
      <c r="H277" s="12">
        <f t="shared" si="77"/>
        <v>-718.70167337904513</v>
      </c>
      <c r="I277" s="12">
        <f t="shared" si="78"/>
        <v>-1744.6205325389742</v>
      </c>
      <c r="J277" s="12">
        <f t="shared" si="73"/>
        <v>980.68375438048542</v>
      </c>
      <c r="K277" s="12"/>
      <c r="L277" s="11">
        <f t="shared" si="79"/>
        <v>1909.6611818618114</v>
      </c>
      <c r="M277" s="11">
        <f t="shared" si="80"/>
        <v>512.95942957996454</v>
      </c>
      <c r="N277" s="11">
        <f t="shared" si="81"/>
        <v>1396.7017522818469</v>
      </c>
      <c r="O277" s="11">
        <f t="shared" si="82"/>
        <v>152491.12712170751</v>
      </c>
      <c r="P277" s="11">
        <f t="shared" si="83"/>
        <v>778658.36769127438</v>
      </c>
      <c r="Q277" s="11">
        <f t="shared" si="84"/>
        <v>626167.24056956684</v>
      </c>
      <c r="R277" s="11">
        <f t="shared" si="85"/>
        <v>-967.4830218564075</v>
      </c>
      <c r="S277" s="11">
        <f t="shared" si="86"/>
        <v>-1480.442451436372</v>
      </c>
      <c r="T277" s="11">
        <f t="shared" si="74"/>
        <v>790.64445432984508</v>
      </c>
    </row>
    <row r="278" spans="1:20">
      <c r="A278">
        <v>268</v>
      </c>
      <c r="B278" s="12">
        <f t="shared" si="72"/>
        <v>3819.3223637236229</v>
      </c>
      <c r="C278" s="12">
        <f t="shared" si="87"/>
        <v>1016.6075141447168</v>
      </c>
      <c r="D278" s="12">
        <f t="shared" si="88"/>
        <v>2802.7148495789061</v>
      </c>
      <c r="E278" s="12">
        <f t="shared" si="89"/>
        <v>302179.53939383611</v>
      </c>
      <c r="F278" s="12">
        <f t="shared" si="75"/>
        <v>1559912.2632748531</v>
      </c>
      <c r="G278" s="12">
        <f t="shared" si="76"/>
        <v>1257732.723881017</v>
      </c>
      <c r="H278" s="12">
        <f t="shared" si="77"/>
        <v>-719.89950950134357</v>
      </c>
      <c r="I278" s="12">
        <f t="shared" si="78"/>
        <v>-1736.5070236460604</v>
      </c>
      <c r="J278" s="12">
        <f t="shared" si="73"/>
        <v>993.33943708493211</v>
      </c>
      <c r="K278" s="12"/>
      <c r="L278" s="11">
        <f t="shared" si="79"/>
        <v>1909.6611818618114</v>
      </c>
      <c r="M278" s="11">
        <f t="shared" si="80"/>
        <v>508.30375707235839</v>
      </c>
      <c r="N278" s="11">
        <f t="shared" si="81"/>
        <v>1401.357424789453</v>
      </c>
      <c r="O278" s="11">
        <f t="shared" si="82"/>
        <v>151089.76969691805</v>
      </c>
      <c r="P278" s="11">
        <f t="shared" si="83"/>
        <v>779956.13163742656</v>
      </c>
      <c r="Q278" s="11">
        <f t="shared" si="84"/>
        <v>628866.36194050848</v>
      </c>
      <c r="R278" s="11">
        <f t="shared" si="85"/>
        <v>-969.09549355950151</v>
      </c>
      <c r="S278" s="11">
        <f t="shared" si="86"/>
        <v>-1477.39925063186</v>
      </c>
      <c r="T278" s="11">
        <f t="shared" si="74"/>
        <v>797.47279997730084</v>
      </c>
    </row>
    <row r="279" spans="1:20">
      <c r="A279">
        <v>269</v>
      </c>
      <c r="B279" s="12">
        <f t="shared" si="72"/>
        <v>3819.3223637236229</v>
      </c>
      <c r="C279" s="12">
        <f t="shared" si="87"/>
        <v>1007.265131312787</v>
      </c>
      <c r="D279" s="12">
        <f t="shared" si="88"/>
        <v>2812.0572324108357</v>
      </c>
      <c r="E279" s="12">
        <f t="shared" si="89"/>
        <v>299367.48216142529</v>
      </c>
      <c r="F279" s="12">
        <f t="shared" si="75"/>
        <v>1562512.1170469779</v>
      </c>
      <c r="G279" s="12">
        <f t="shared" si="76"/>
        <v>1263144.6348855526</v>
      </c>
      <c r="H279" s="12">
        <f t="shared" si="77"/>
        <v>-721.0993420171792</v>
      </c>
      <c r="I279" s="12">
        <f t="shared" si="78"/>
        <v>-1728.3644733299661</v>
      </c>
      <c r="J279" s="12">
        <f t="shared" si="73"/>
        <v>1006.0317315022448</v>
      </c>
      <c r="K279" s="12"/>
      <c r="L279" s="11">
        <f t="shared" si="79"/>
        <v>1909.6611818618114</v>
      </c>
      <c r="M279" s="11">
        <f t="shared" si="80"/>
        <v>503.63256565639352</v>
      </c>
      <c r="N279" s="11">
        <f t="shared" si="81"/>
        <v>1406.0286162054178</v>
      </c>
      <c r="O279" s="11">
        <f t="shared" si="82"/>
        <v>149683.74108071264</v>
      </c>
      <c r="P279" s="11">
        <f t="shared" si="83"/>
        <v>781256.05852348893</v>
      </c>
      <c r="Q279" s="11">
        <f t="shared" si="84"/>
        <v>631572.31744277629</v>
      </c>
      <c r="R279" s="11">
        <f t="shared" si="85"/>
        <v>-970.71065271543409</v>
      </c>
      <c r="S279" s="11">
        <f t="shared" si="86"/>
        <v>-1474.3432183718276</v>
      </c>
      <c r="T279" s="11">
        <f t="shared" si="74"/>
        <v>804.32028565501491</v>
      </c>
    </row>
    <row r="280" spans="1:20">
      <c r="A280">
        <v>270</v>
      </c>
      <c r="B280" s="12">
        <f t="shared" si="72"/>
        <v>3819.3223637236229</v>
      </c>
      <c r="C280" s="12">
        <f t="shared" si="87"/>
        <v>997.89160720475093</v>
      </c>
      <c r="D280" s="12">
        <f t="shared" si="88"/>
        <v>2821.4307565188719</v>
      </c>
      <c r="E280" s="12">
        <f t="shared" si="89"/>
        <v>296546.05140490644</v>
      </c>
      <c r="F280" s="12">
        <f t="shared" si="75"/>
        <v>1565116.3039087229</v>
      </c>
      <c r="G280" s="12">
        <f t="shared" si="76"/>
        <v>1268570.2525038165</v>
      </c>
      <c r="H280" s="12">
        <f t="shared" si="77"/>
        <v>-722.30117425387448</v>
      </c>
      <c r="I280" s="12">
        <f t="shared" si="78"/>
        <v>-1720.1927814586254</v>
      </c>
      <c r="J280" s="12">
        <f t="shared" si="73"/>
        <v>1018.7607503816396</v>
      </c>
      <c r="K280" s="12"/>
      <c r="L280" s="11">
        <f t="shared" si="79"/>
        <v>1909.6611818618114</v>
      </c>
      <c r="M280" s="11">
        <f t="shared" si="80"/>
        <v>498.94580360237546</v>
      </c>
      <c r="N280" s="11">
        <f t="shared" si="81"/>
        <v>1410.715378259436</v>
      </c>
      <c r="O280" s="11">
        <f t="shared" si="82"/>
        <v>148273.02570245322</v>
      </c>
      <c r="P280" s="11">
        <f t="shared" si="83"/>
        <v>782558.15195436147</v>
      </c>
      <c r="Q280" s="11">
        <f t="shared" si="84"/>
        <v>634285.12625190825</v>
      </c>
      <c r="R280" s="11">
        <f t="shared" si="85"/>
        <v>-972.32850380329319</v>
      </c>
      <c r="S280" s="11">
        <f t="shared" si="86"/>
        <v>-1471.2743074056687</v>
      </c>
      <c r="T280" s="11">
        <f t="shared" si="74"/>
        <v>811.18696912788596</v>
      </c>
    </row>
    <row r="281" spans="1:20">
      <c r="A281">
        <v>271</v>
      </c>
      <c r="B281" s="12">
        <f t="shared" si="72"/>
        <v>3819.3223637236229</v>
      </c>
      <c r="C281" s="12">
        <f t="shared" si="87"/>
        <v>988.4868380163548</v>
      </c>
      <c r="D281" s="12">
        <f t="shared" si="88"/>
        <v>2830.8355257072681</v>
      </c>
      <c r="E281" s="12">
        <f t="shared" si="89"/>
        <v>293715.21587919915</v>
      </c>
      <c r="F281" s="12">
        <f t="shared" si="75"/>
        <v>1567724.8310819042</v>
      </c>
      <c r="G281" s="12">
        <f t="shared" si="76"/>
        <v>1274009.6152027051</v>
      </c>
      <c r="H281" s="12">
        <f t="shared" si="77"/>
        <v>-723.50500954429765</v>
      </c>
      <c r="I281" s="12">
        <f t="shared" si="78"/>
        <v>-1711.9918475606523</v>
      </c>
      <c r="J281" s="12">
        <f t="shared" si="73"/>
        <v>1031.52660683268</v>
      </c>
      <c r="K281" s="12"/>
      <c r="L281" s="11">
        <f t="shared" si="79"/>
        <v>1909.6611818618114</v>
      </c>
      <c r="M281" s="11">
        <f t="shared" si="80"/>
        <v>494.2434190081774</v>
      </c>
      <c r="N281" s="11">
        <f t="shared" si="81"/>
        <v>1415.417762853634</v>
      </c>
      <c r="O281" s="11">
        <f t="shared" si="82"/>
        <v>146857.60793959958</v>
      </c>
      <c r="P281" s="11">
        <f t="shared" si="83"/>
        <v>783862.41554095212</v>
      </c>
      <c r="Q281" s="11">
        <f t="shared" si="84"/>
        <v>637004.80760135257</v>
      </c>
      <c r="R281" s="11">
        <f t="shared" si="85"/>
        <v>-973.94905130963207</v>
      </c>
      <c r="S281" s="11">
        <f t="shared" si="86"/>
        <v>-1468.1924703178095</v>
      </c>
      <c r="T281" s="11">
        <f t="shared" si="74"/>
        <v>818.07290834330092</v>
      </c>
    </row>
    <row r="282" spans="1:20">
      <c r="A282">
        <v>272</v>
      </c>
      <c r="B282" s="12">
        <f t="shared" si="72"/>
        <v>3819.3223637236229</v>
      </c>
      <c r="C282" s="12">
        <f t="shared" si="87"/>
        <v>979.0507195973305</v>
      </c>
      <c r="D282" s="12">
        <f t="shared" si="88"/>
        <v>2840.2716441262924</v>
      </c>
      <c r="E282" s="12">
        <f t="shared" si="89"/>
        <v>290874.94423507288</v>
      </c>
      <c r="F282" s="12">
        <f t="shared" si="75"/>
        <v>1570337.705800374</v>
      </c>
      <c r="G282" s="12">
        <f t="shared" si="76"/>
        <v>1279462.7615653011</v>
      </c>
      <c r="H282" s="12">
        <f t="shared" si="77"/>
        <v>-724.71085122687145</v>
      </c>
      <c r="I282" s="12">
        <f t="shared" si="78"/>
        <v>-1703.761570824202</v>
      </c>
      <c r="J282" s="12">
        <f t="shared" si="73"/>
        <v>1044.3294143264525</v>
      </c>
      <c r="K282" s="12"/>
      <c r="L282" s="11">
        <f t="shared" si="79"/>
        <v>1909.6611818618114</v>
      </c>
      <c r="M282" s="11">
        <f t="shared" si="80"/>
        <v>489.52535979866525</v>
      </c>
      <c r="N282" s="11">
        <f t="shared" si="81"/>
        <v>1420.1358220631462</v>
      </c>
      <c r="O282" s="11">
        <f t="shared" si="82"/>
        <v>145437.47211753644</v>
      </c>
      <c r="P282" s="11">
        <f t="shared" si="83"/>
        <v>785168.85290018702</v>
      </c>
      <c r="Q282" s="11">
        <f t="shared" si="84"/>
        <v>639731.38078265055</v>
      </c>
      <c r="R282" s="11">
        <f t="shared" si="85"/>
        <v>-975.57229972848154</v>
      </c>
      <c r="S282" s="11">
        <f t="shared" si="86"/>
        <v>-1465.0976595271468</v>
      </c>
      <c r="T282" s="11">
        <f t="shared" si="74"/>
        <v>824.97816143173168</v>
      </c>
    </row>
    <row r="283" spans="1:20">
      <c r="A283">
        <v>273</v>
      </c>
      <c r="B283" s="12">
        <f t="shared" si="72"/>
        <v>3819.3223637236229</v>
      </c>
      <c r="C283" s="12">
        <f t="shared" si="87"/>
        <v>969.5831474502429</v>
      </c>
      <c r="D283" s="12">
        <f t="shared" si="88"/>
        <v>2849.73921627338</v>
      </c>
      <c r="E283" s="12">
        <f t="shared" si="89"/>
        <v>288025.20501879952</v>
      </c>
      <c r="F283" s="12">
        <f t="shared" si="75"/>
        <v>1572954.9353100413</v>
      </c>
      <c r="G283" s="12">
        <f t="shared" si="76"/>
        <v>1284929.7302912418</v>
      </c>
      <c r="H283" s="12">
        <f t="shared" si="77"/>
        <v>-725.91870264558293</v>
      </c>
      <c r="I283" s="12">
        <f t="shared" si="78"/>
        <v>-1695.5018500958258</v>
      </c>
      <c r="J283" s="12">
        <f t="shared" si="73"/>
        <v>1057.169286696746</v>
      </c>
      <c r="K283" s="12"/>
      <c r="L283" s="11">
        <f t="shared" si="79"/>
        <v>1909.6611818618114</v>
      </c>
      <c r="M283" s="11">
        <f t="shared" si="80"/>
        <v>484.79157372512145</v>
      </c>
      <c r="N283" s="11">
        <f t="shared" si="81"/>
        <v>1424.86960813669</v>
      </c>
      <c r="O283" s="11">
        <f t="shared" si="82"/>
        <v>144012.60250939976</v>
      </c>
      <c r="P283" s="11">
        <f t="shared" si="83"/>
        <v>786477.46765502065</v>
      </c>
      <c r="Q283" s="11">
        <f t="shared" si="84"/>
        <v>642464.86514562089</v>
      </c>
      <c r="R283" s="11">
        <f t="shared" si="85"/>
        <v>-977.19825356136243</v>
      </c>
      <c r="S283" s="11">
        <f t="shared" si="86"/>
        <v>-1461.9898272864839</v>
      </c>
      <c r="T283" s="11">
        <f t="shared" si="74"/>
        <v>831.90278670732641</v>
      </c>
    </row>
    <row r="284" spans="1:20">
      <c r="A284">
        <v>274</v>
      </c>
      <c r="B284" s="12">
        <f t="shared" si="72"/>
        <v>3819.3223637236229</v>
      </c>
      <c r="C284" s="12">
        <f t="shared" si="87"/>
        <v>960.08401672933178</v>
      </c>
      <c r="D284" s="12">
        <f t="shared" si="88"/>
        <v>2859.2383469942911</v>
      </c>
      <c r="E284" s="12">
        <f t="shared" si="89"/>
        <v>285165.96667180525</v>
      </c>
      <c r="F284" s="12">
        <f t="shared" si="75"/>
        <v>1575576.5268688914</v>
      </c>
      <c r="G284" s="12">
        <f t="shared" si="76"/>
        <v>1290410.5601970861</v>
      </c>
      <c r="H284" s="12">
        <f t="shared" si="77"/>
        <v>-727.12856714999225</v>
      </c>
      <c r="I284" s="12">
        <f t="shared" si="78"/>
        <v>-1687.212583879324</v>
      </c>
      <c r="J284" s="12">
        <f t="shared" si="73"/>
        <v>1070.046338141236</v>
      </c>
      <c r="K284" s="12"/>
      <c r="L284" s="11">
        <f t="shared" si="79"/>
        <v>1909.6611818618114</v>
      </c>
      <c r="M284" s="11">
        <f t="shared" si="80"/>
        <v>480.04200836466589</v>
      </c>
      <c r="N284" s="11">
        <f t="shared" si="81"/>
        <v>1429.6191734971455</v>
      </c>
      <c r="O284" s="11">
        <f t="shared" si="82"/>
        <v>142582.98333590262</v>
      </c>
      <c r="P284" s="11">
        <f t="shared" si="83"/>
        <v>787788.26343444572</v>
      </c>
      <c r="Q284" s="11">
        <f t="shared" si="84"/>
        <v>645205.28009854304</v>
      </c>
      <c r="R284" s="11">
        <f t="shared" si="85"/>
        <v>-978.82691731729813</v>
      </c>
      <c r="S284" s="11">
        <f t="shared" si="86"/>
        <v>-1458.8689256819639</v>
      </c>
      <c r="T284" s="11">
        <f t="shared" si="74"/>
        <v>838.84684266850309</v>
      </c>
    </row>
    <row r="285" spans="1:20">
      <c r="A285">
        <v>275</v>
      </c>
      <c r="B285" s="12">
        <f t="shared" si="72"/>
        <v>3819.3223637236229</v>
      </c>
      <c r="C285" s="12">
        <f t="shared" si="87"/>
        <v>950.55322223935082</v>
      </c>
      <c r="D285" s="12">
        <f t="shared" si="88"/>
        <v>2868.769141484272</v>
      </c>
      <c r="E285" s="12">
        <f t="shared" si="89"/>
        <v>282297.19753032096</v>
      </c>
      <c r="F285" s="12">
        <f t="shared" si="75"/>
        <v>1578202.4877470064</v>
      </c>
      <c r="G285" s="12">
        <f t="shared" si="76"/>
        <v>1295905.2902166853</v>
      </c>
      <c r="H285" s="12">
        <f t="shared" si="77"/>
        <v>-728.34044809524221</v>
      </c>
      <c r="I285" s="12">
        <f t="shared" si="78"/>
        <v>-1678.893670334593</v>
      </c>
      <c r="J285" s="12">
        <f t="shared" si="73"/>
        <v>1082.9606832226677</v>
      </c>
      <c r="K285" s="12"/>
      <c r="L285" s="11">
        <f t="shared" si="79"/>
        <v>1909.6611818618114</v>
      </c>
      <c r="M285" s="11">
        <f t="shared" si="80"/>
        <v>475.27661111967541</v>
      </c>
      <c r="N285" s="11">
        <f t="shared" si="81"/>
        <v>1434.384570742136</v>
      </c>
      <c r="O285" s="11">
        <f t="shared" si="82"/>
        <v>141148.59876516048</v>
      </c>
      <c r="P285" s="11">
        <f t="shared" si="83"/>
        <v>789101.24387350318</v>
      </c>
      <c r="Q285" s="11">
        <f t="shared" si="84"/>
        <v>647952.64510834264</v>
      </c>
      <c r="R285" s="11">
        <f t="shared" si="85"/>
        <v>-980.45829551282702</v>
      </c>
      <c r="S285" s="11">
        <f t="shared" si="86"/>
        <v>-1455.7349066325023</v>
      </c>
      <c r="T285" s="11">
        <f t="shared" si="74"/>
        <v>845.81038799854878</v>
      </c>
    </row>
    <row r="286" spans="1:20">
      <c r="A286">
        <v>276</v>
      </c>
      <c r="B286" s="12">
        <f t="shared" si="72"/>
        <v>3819.3223637236229</v>
      </c>
      <c r="C286" s="12">
        <f t="shared" si="87"/>
        <v>940.99065843440314</v>
      </c>
      <c r="D286" s="12">
        <f t="shared" si="88"/>
        <v>2878.3317052892198</v>
      </c>
      <c r="E286" s="12">
        <f t="shared" si="89"/>
        <v>279418.86582503177</v>
      </c>
      <c r="F286" s="12">
        <f t="shared" si="75"/>
        <v>1580832.8252265847</v>
      </c>
      <c r="G286" s="12">
        <f t="shared" si="76"/>
        <v>1301413.959401553</v>
      </c>
      <c r="H286" s="12">
        <f t="shared" si="77"/>
        <v>-729.55434884206761</v>
      </c>
      <c r="I286" s="12">
        <f t="shared" si="78"/>
        <v>-1670.5450072764706</v>
      </c>
      <c r="J286" s="12">
        <f t="shared" si="73"/>
        <v>1095.9124368700523</v>
      </c>
      <c r="K286" s="12"/>
      <c r="L286" s="11">
        <f t="shared" si="79"/>
        <v>1909.6611818618114</v>
      </c>
      <c r="M286" s="11">
        <f t="shared" si="80"/>
        <v>470.49532921720157</v>
      </c>
      <c r="N286" s="11">
        <f t="shared" si="81"/>
        <v>1439.1658526446099</v>
      </c>
      <c r="O286" s="11">
        <f t="shared" si="82"/>
        <v>139709.43291251588</v>
      </c>
      <c r="P286" s="11">
        <f t="shared" si="83"/>
        <v>790416.41261329234</v>
      </c>
      <c r="Q286" s="11">
        <f t="shared" si="84"/>
        <v>650706.97970077652</v>
      </c>
      <c r="R286" s="11">
        <f t="shared" si="85"/>
        <v>-982.09239267201508</v>
      </c>
      <c r="S286" s="11">
        <f t="shared" si="86"/>
        <v>-1452.5877218892167</v>
      </c>
      <c r="T286" s="11">
        <f t="shared" si="74"/>
        <v>852.79348156621904</v>
      </c>
    </row>
    <row r="287" spans="1:20">
      <c r="A287">
        <v>277</v>
      </c>
      <c r="B287" s="12">
        <f t="shared" si="72"/>
        <v>3819.3223637236229</v>
      </c>
      <c r="C287" s="12">
        <f t="shared" si="87"/>
        <v>931.39621941677251</v>
      </c>
      <c r="D287" s="12">
        <f t="shared" si="88"/>
        <v>2887.9261443068503</v>
      </c>
      <c r="E287" s="12">
        <f t="shared" si="89"/>
        <v>276530.93968072493</v>
      </c>
      <c r="F287" s="12">
        <f t="shared" si="75"/>
        <v>1583467.5466019623</v>
      </c>
      <c r="G287" s="12">
        <f t="shared" si="76"/>
        <v>1306936.6069212374</v>
      </c>
      <c r="H287" s="12">
        <f t="shared" si="77"/>
        <v>-730.77027275680439</v>
      </c>
      <c r="I287" s="12">
        <f t="shared" si="78"/>
        <v>-1662.1664921735769</v>
      </c>
      <c r="J287" s="12">
        <f t="shared" si="73"/>
        <v>1108.9017143798569</v>
      </c>
      <c r="K287" s="12"/>
      <c r="L287" s="11">
        <f t="shared" si="79"/>
        <v>1909.6611818618114</v>
      </c>
      <c r="M287" s="11">
        <f t="shared" si="80"/>
        <v>465.69810970838626</v>
      </c>
      <c r="N287" s="11">
        <f t="shared" si="81"/>
        <v>1443.9630721534252</v>
      </c>
      <c r="O287" s="11">
        <f t="shared" si="82"/>
        <v>138265.46984036246</v>
      </c>
      <c r="P287" s="11">
        <f t="shared" si="83"/>
        <v>791733.77330098115</v>
      </c>
      <c r="Q287" s="11">
        <f t="shared" si="84"/>
        <v>653468.30346061871</v>
      </c>
      <c r="R287" s="11">
        <f t="shared" si="85"/>
        <v>-983.72921332646843</v>
      </c>
      <c r="S287" s="11">
        <f t="shared" si="86"/>
        <v>-1449.4273230348547</v>
      </c>
      <c r="T287" s="11">
        <f t="shared" si="74"/>
        <v>859.79618242634047</v>
      </c>
    </row>
    <row r="288" spans="1:20">
      <c r="A288">
        <v>278</v>
      </c>
      <c r="B288" s="12">
        <f t="shared" si="72"/>
        <v>3819.3223637236229</v>
      </c>
      <c r="C288" s="12">
        <f t="shared" si="87"/>
        <v>921.7697989357498</v>
      </c>
      <c r="D288" s="12">
        <f t="shared" si="88"/>
        <v>2897.5525647878731</v>
      </c>
      <c r="E288" s="12">
        <f t="shared" si="89"/>
        <v>273633.38711593708</v>
      </c>
      <c r="F288" s="12">
        <f t="shared" si="75"/>
        <v>1586106.6591796323</v>
      </c>
      <c r="G288" s="12">
        <f t="shared" si="76"/>
        <v>1312473.2720636954</v>
      </c>
      <c r="H288" s="12">
        <f t="shared" si="77"/>
        <v>-731.98822321139914</v>
      </c>
      <c r="I288" s="12">
        <f t="shared" si="78"/>
        <v>-1653.7580221471489</v>
      </c>
      <c r="J288" s="12">
        <f t="shared" si="73"/>
        <v>1121.9286314172073</v>
      </c>
      <c r="K288" s="12"/>
      <c r="L288" s="11">
        <f t="shared" si="79"/>
        <v>1909.6611818618114</v>
      </c>
      <c r="M288" s="11">
        <f t="shared" si="80"/>
        <v>460.8848994678749</v>
      </c>
      <c r="N288" s="11">
        <f t="shared" si="81"/>
        <v>1448.7762823939365</v>
      </c>
      <c r="O288" s="11">
        <f t="shared" si="82"/>
        <v>136816.69355796854</v>
      </c>
      <c r="P288" s="11">
        <f t="shared" si="83"/>
        <v>793053.32958981616</v>
      </c>
      <c r="Q288" s="11">
        <f t="shared" si="84"/>
        <v>656236.63603184768</v>
      </c>
      <c r="R288" s="11">
        <f t="shared" si="85"/>
        <v>-985.36876201534596</v>
      </c>
      <c r="S288" s="11">
        <f t="shared" si="86"/>
        <v>-1446.2536614832209</v>
      </c>
      <c r="T288" s="11">
        <f t="shared" si="74"/>
        <v>866.81854982041</v>
      </c>
    </row>
    <row r="289" spans="1:20">
      <c r="A289">
        <v>279</v>
      </c>
      <c r="B289" s="12">
        <f t="shared" si="72"/>
        <v>3819.3223637236229</v>
      </c>
      <c r="C289" s="12">
        <f t="shared" si="87"/>
        <v>912.11129038645697</v>
      </c>
      <c r="D289" s="12">
        <f t="shared" si="88"/>
        <v>2907.211073337166</v>
      </c>
      <c r="E289" s="12">
        <f t="shared" si="89"/>
        <v>270726.17604259989</v>
      </c>
      <c r="F289" s="12">
        <f t="shared" si="75"/>
        <v>1588750.1702782651</v>
      </c>
      <c r="G289" s="12">
        <f t="shared" si="76"/>
        <v>1318023.9942356653</v>
      </c>
      <c r="H289" s="12">
        <f t="shared" si="77"/>
        <v>-733.20820358341814</v>
      </c>
      <c r="I289" s="12">
        <f t="shared" si="78"/>
        <v>-1645.3194939698751</v>
      </c>
      <c r="J289" s="12">
        <f t="shared" si="73"/>
        <v>1134.993304017089</v>
      </c>
      <c r="K289" s="12"/>
      <c r="L289" s="11">
        <f t="shared" si="79"/>
        <v>1909.6611818618114</v>
      </c>
      <c r="M289" s="11">
        <f t="shared" si="80"/>
        <v>456.05564519322849</v>
      </c>
      <c r="N289" s="11">
        <f t="shared" si="81"/>
        <v>1453.605536668583</v>
      </c>
      <c r="O289" s="11">
        <f t="shared" si="82"/>
        <v>135363.08802129995</v>
      </c>
      <c r="P289" s="11">
        <f t="shared" si="83"/>
        <v>794375.08513913257</v>
      </c>
      <c r="Q289" s="11">
        <f t="shared" si="84"/>
        <v>659011.99711783265</v>
      </c>
      <c r="R289" s="11">
        <f t="shared" si="85"/>
        <v>-987.01104328537156</v>
      </c>
      <c r="S289" s="11">
        <f t="shared" si="86"/>
        <v>-1443.0666884786001</v>
      </c>
      <c r="T289" s="11">
        <f t="shared" si="74"/>
        <v>873.8606431772032</v>
      </c>
    </row>
    <row r="290" spans="1:20">
      <c r="A290">
        <v>280</v>
      </c>
      <c r="B290" s="12">
        <f t="shared" si="72"/>
        <v>3819.3223637236229</v>
      </c>
      <c r="C290" s="12">
        <f t="shared" si="87"/>
        <v>902.42058680866637</v>
      </c>
      <c r="D290" s="12">
        <f t="shared" si="88"/>
        <v>2916.9017769149564</v>
      </c>
      <c r="E290" s="12">
        <f t="shared" si="89"/>
        <v>267809.27426568494</v>
      </c>
      <c r="F290" s="12">
        <f t="shared" si="75"/>
        <v>1591398.0872287289</v>
      </c>
      <c r="G290" s="12">
        <f t="shared" si="76"/>
        <v>1323588.812963044</v>
      </c>
      <c r="H290" s="12">
        <f t="shared" si="77"/>
        <v>-734.43021725605718</v>
      </c>
      <c r="I290" s="12">
        <f t="shared" si="78"/>
        <v>-1636.8508040647234</v>
      </c>
      <c r="J290" s="12">
        <f t="shared" si="73"/>
        <v>1148.0958485855522</v>
      </c>
      <c r="K290" s="12"/>
      <c r="L290" s="11">
        <f t="shared" si="79"/>
        <v>1909.6611818618114</v>
      </c>
      <c r="M290" s="11">
        <f t="shared" si="80"/>
        <v>451.21029340433319</v>
      </c>
      <c r="N290" s="11">
        <f t="shared" si="81"/>
        <v>1458.4508884574782</v>
      </c>
      <c r="O290" s="11">
        <f t="shared" si="82"/>
        <v>133904.63713284247</v>
      </c>
      <c r="P290" s="11">
        <f t="shared" si="83"/>
        <v>795699.04361436446</v>
      </c>
      <c r="Q290" s="11">
        <f t="shared" si="84"/>
        <v>661794.40648152202</v>
      </c>
      <c r="R290" s="11">
        <f t="shared" si="85"/>
        <v>-988.6560616908472</v>
      </c>
      <c r="S290" s="11">
        <f t="shared" si="86"/>
        <v>-1439.8663550951803</v>
      </c>
      <c r="T290" s="11">
        <f t="shared" si="74"/>
        <v>880.92252211338268</v>
      </c>
    </row>
    <row r="291" spans="1:20">
      <c r="A291">
        <v>281</v>
      </c>
      <c r="B291" s="12">
        <f t="shared" si="72"/>
        <v>3819.3223637236229</v>
      </c>
      <c r="C291" s="12">
        <f t="shared" si="87"/>
        <v>892.6975808856165</v>
      </c>
      <c r="D291" s="12">
        <f t="shared" si="88"/>
        <v>2926.6247828380065</v>
      </c>
      <c r="E291" s="12">
        <f t="shared" si="89"/>
        <v>264882.64948284696</v>
      </c>
      <c r="F291" s="12">
        <f t="shared" si="75"/>
        <v>1594050.4173741103</v>
      </c>
      <c r="G291" s="12">
        <f t="shared" si="76"/>
        <v>1329167.7678912634</v>
      </c>
      <c r="H291" s="12">
        <f t="shared" si="77"/>
        <v>-735.65426761815058</v>
      </c>
      <c r="I291" s="12">
        <f t="shared" si="78"/>
        <v>-1628.3518485037671</v>
      </c>
      <c r="J291" s="12">
        <f t="shared" si="73"/>
        <v>1161.2363819009256</v>
      </c>
      <c r="K291" s="12"/>
      <c r="L291" s="11">
        <f t="shared" si="79"/>
        <v>1909.6611818618114</v>
      </c>
      <c r="M291" s="11">
        <f t="shared" si="80"/>
        <v>446.34879044280825</v>
      </c>
      <c r="N291" s="11">
        <f t="shared" si="81"/>
        <v>1463.3123914190032</v>
      </c>
      <c r="O291" s="11">
        <f t="shared" si="82"/>
        <v>132441.32474142348</v>
      </c>
      <c r="P291" s="11">
        <f t="shared" si="83"/>
        <v>797025.20868705516</v>
      </c>
      <c r="Q291" s="11">
        <f t="shared" si="84"/>
        <v>664583.88394563168</v>
      </c>
      <c r="R291" s="11">
        <f t="shared" si="85"/>
        <v>-990.30382179366529</v>
      </c>
      <c r="S291" s="11">
        <f t="shared" si="86"/>
        <v>-1436.6526122364735</v>
      </c>
      <c r="T291" s="11">
        <f t="shared" si="74"/>
        <v>888.00424643410406</v>
      </c>
    </row>
    <row r="292" spans="1:20">
      <c r="A292">
        <v>282</v>
      </c>
      <c r="B292" s="12">
        <f t="shared" si="72"/>
        <v>3819.3223637236229</v>
      </c>
      <c r="C292" s="12">
        <f t="shared" si="87"/>
        <v>882.94216494282318</v>
      </c>
      <c r="D292" s="12">
        <f t="shared" si="88"/>
        <v>2936.3801987807997</v>
      </c>
      <c r="E292" s="12">
        <f t="shared" si="89"/>
        <v>261946.26928406616</v>
      </c>
      <c r="F292" s="12">
        <f t="shared" si="75"/>
        <v>1596707.168069734</v>
      </c>
      <c r="G292" s="12">
        <f t="shared" si="76"/>
        <v>1334760.898785668</v>
      </c>
      <c r="H292" s="12">
        <f t="shared" si="77"/>
        <v>-736.88035806418088</v>
      </c>
      <c r="I292" s="12">
        <f t="shared" si="78"/>
        <v>-1619.8225230070041</v>
      </c>
      <c r="J292" s="12">
        <f t="shared" si="73"/>
        <v>1174.4150211150297</v>
      </c>
      <c r="K292" s="12"/>
      <c r="L292" s="11">
        <f t="shared" si="79"/>
        <v>1909.6611818618114</v>
      </c>
      <c r="M292" s="11">
        <f t="shared" si="80"/>
        <v>441.47108247141159</v>
      </c>
      <c r="N292" s="11">
        <f t="shared" si="81"/>
        <v>1468.1900993903998</v>
      </c>
      <c r="O292" s="11">
        <f t="shared" si="82"/>
        <v>130973.13464203308</v>
      </c>
      <c r="P292" s="11">
        <f t="shared" si="83"/>
        <v>798353.584034867</v>
      </c>
      <c r="Q292" s="11">
        <f t="shared" si="84"/>
        <v>667380.44939283398</v>
      </c>
      <c r="R292" s="11">
        <f t="shared" si="85"/>
        <v>-991.95432816332141</v>
      </c>
      <c r="S292" s="11">
        <f t="shared" si="86"/>
        <v>-1433.425410634733</v>
      </c>
      <c r="T292" s="11">
        <f t="shared" si="74"/>
        <v>895.10587613362941</v>
      </c>
    </row>
    <row r="293" spans="1:20">
      <c r="A293">
        <v>283</v>
      </c>
      <c r="B293" s="12">
        <f t="shared" si="72"/>
        <v>3819.3223637236229</v>
      </c>
      <c r="C293" s="12">
        <f t="shared" si="87"/>
        <v>873.1542309468872</v>
      </c>
      <c r="D293" s="12">
        <f t="shared" si="88"/>
        <v>2946.1681327767355</v>
      </c>
      <c r="E293" s="12">
        <f t="shared" si="89"/>
        <v>259000.10115128942</v>
      </c>
      <c r="F293" s="12">
        <f t="shared" si="75"/>
        <v>1599368.3466831837</v>
      </c>
      <c r="G293" s="12">
        <f t="shared" si="76"/>
        <v>1340368.2455318943</v>
      </c>
      <c r="H293" s="12">
        <f t="shared" si="77"/>
        <v>-738.10849199428787</v>
      </c>
      <c r="I293" s="12">
        <f t="shared" si="78"/>
        <v>-1611.2627229411751</v>
      </c>
      <c r="J293" s="12">
        <f t="shared" si="73"/>
        <v>1187.6318837543959</v>
      </c>
      <c r="K293" s="12"/>
      <c r="L293" s="11">
        <f t="shared" si="79"/>
        <v>1909.6611818618114</v>
      </c>
      <c r="M293" s="11">
        <f t="shared" si="80"/>
        <v>436.5771154734436</v>
      </c>
      <c r="N293" s="11">
        <f t="shared" si="81"/>
        <v>1473.0840663883678</v>
      </c>
      <c r="O293" s="11">
        <f t="shared" si="82"/>
        <v>129500.05057564471</v>
      </c>
      <c r="P293" s="11">
        <f t="shared" si="83"/>
        <v>799684.17334159184</v>
      </c>
      <c r="Q293" s="11">
        <f t="shared" si="84"/>
        <v>670184.12276594713</v>
      </c>
      <c r="R293" s="11">
        <f t="shared" si="85"/>
        <v>-993.60758537692698</v>
      </c>
      <c r="S293" s="11">
        <f t="shared" si="86"/>
        <v>-1430.1847008503705</v>
      </c>
      <c r="T293" s="11">
        <f t="shared" si="74"/>
        <v>902.22747139593912</v>
      </c>
    </row>
    <row r="294" spans="1:20">
      <c r="A294">
        <v>284</v>
      </c>
      <c r="B294" s="12">
        <f t="shared" si="72"/>
        <v>3819.3223637236229</v>
      </c>
      <c r="C294" s="12">
        <f t="shared" si="87"/>
        <v>863.33367050429808</v>
      </c>
      <c r="D294" s="12">
        <f t="shared" si="88"/>
        <v>2955.9886932193249</v>
      </c>
      <c r="E294" s="12">
        <f t="shared" si="89"/>
        <v>256044.1124580701</v>
      </c>
      <c r="F294" s="12">
        <f t="shared" si="75"/>
        <v>1602033.9605943223</v>
      </c>
      <c r="G294" s="12">
        <f t="shared" si="76"/>
        <v>1345989.8481362523</v>
      </c>
      <c r="H294" s="12">
        <f t="shared" si="77"/>
        <v>-739.33867281427842</v>
      </c>
      <c r="I294" s="12">
        <f t="shared" si="78"/>
        <v>-1602.6723433185766</v>
      </c>
      <c r="J294" s="12">
        <f t="shared" si="73"/>
        <v>1200.8870877214872</v>
      </c>
      <c r="K294" s="12"/>
      <c r="L294" s="11">
        <f t="shared" si="79"/>
        <v>1909.6611818618114</v>
      </c>
      <c r="M294" s="11">
        <f t="shared" si="80"/>
        <v>431.66683525214904</v>
      </c>
      <c r="N294" s="11">
        <f t="shared" si="81"/>
        <v>1477.9943466096624</v>
      </c>
      <c r="O294" s="11">
        <f t="shared" si="82"/>
        <v>128022.05622903505</v>
      </c>
      <c r="P294" s="11">
        <f t="shared" si="83"/>
        <v>801016.98029716115</v>
      </c>
      <c r="Q294" s="11">
        <f t="shared" si="84"/>
        <v>672994.92406812613</v>
      </c>
      <c r="R294" s="11">
        <f t="shared" si="85"/>
        <v>-995.26359801922194</v>
      </c>
      <c r="S294" s="11">
        <f t="shared" si="86"/>
        <v>-1426.9304332713709</v>
      </c>
      <c r="T294" s="11">
        <f t="shared" si="74"/>
        <v>909.36909259534923</v>
      </c>
    </row>
    <row r="295" spans="1:20">
      <c r="A295">
        <v>285</v>
      </c>
      <c r="B295" s="12">
        <f t="shared" si="72"/>
        <v>3819.3223637236229</v>
      </c>
      <c r="C295" s="12">
        <f t="shared" si="87"/>
        <v>853.48037486023361</v>
      </c>
      <c r="D295" s="12">
        <f t="shared" si="88"/>
        <v>2965.8419888633894</v>
      </c>
      <c r="E295" s="12">
        <f t="shared" si="89"/>
        <v>253078.27046920671</v>
      </c>
      <c r="F295" s="12">
        <f t="shared" si="75"/>
        <v>1604704.017195313</v>
      </c>
      <c r="G295" s="12">
        <f t="shared" si="76"/>
        <v>1351625.7467261064</v>
      </c>
      <c r="H295" s="12">
        <f t="shared" si="77"/>
        <v>-740.57090393563556</v>
      </c>
      <c r="I295" s="12">
        <f t="shared" si="78"/>
        <v>-1594.0512787958692</v>
      </c>
      <c r="J295" s="12">
        <f t="shared" si="73"/>
        <v>1214.1807512959281</v>
      </c>
      <c r="K295" s="12"/>
      <c r="L295" s="11">
        <f t="shared" si="79"/>
        <v>1909.6611818618114</v>
      </c>
      <c r="M295" s="11">
        <f t="shared" si="80"/>
        <v>426.7401874301168</v>
      </c>
      <c r="N295" s="11">
        <f t="shared" si="81"/>
        <v>1482.9209944316947</v>
      </c>
      <c r="O295" s="11">
        <f t="shared" si="82"/>
        <v>126539.13523460335</v>
      </c>
      <c r="P295" s="11">
        <f t="shared" si="83"/>
        <v>802352.0085976565</v>
      </c>
      <c r="Q295" s="11">
        <f t="shared" si="84"/>
        <v>675812.87336305319</v>
      </c>
      <c r="R295" s="11">
        <f t="shared" si="85"/>
        <v>-996.92237068258737</v>
      </c>
      <c r="S295" s="11">
        <f t="shared" si="86"/>
        <v>-1423.6625581127041</v>
      </c>
      <c r="T295" s="11">
        <f t="shared" si="74"/>
        <v>916.53080029712737</v>
      </c>
    </row>
    <row r="296" spans="1:20">
      <c r="A296">
        <v>286</v>
      </c>
      <c r="B296" s="12">
        <f t="shared" si="72"/>
        <v>3819.3223637236229</v>
      </c>
      <c r="C296" s="12">
        <f t="shared" si="87"/>
        <v>843.5942348973557</v>
      </c>
      <c r="D296" s="12">
        <f t="shared" si="88"/>
        <v>2975.728128826267</v>
      </c>
      <c r="E296" s="12">
        <f t="shared" si="89"/>
        <v>250102.54234038043</v>
      </c>
      <c r="F296" s="12">
        <f t="shared" si="75"/>
        <v>1607378.5238906385</v>
      </c>
      <c r="G296" s="12">
        <f t="shared" si="76"/>
        <v>1357275.9815502581</v>
      </c>
      <c r="H296" s="12">
        <f t="shared" si="77"/>
        <v>-741.80518877552834</v>
      </c>
      <c r="I296" s="12">
        <f t="shared" si="78"/>
        <v>-1585.399423672884</v>
      </c>
      <c r="J296" s="12">
        <f t="shared" si="73"/>
        <v>1227.5129931357333</v>
      </c>
      <c r="K296" s="12"/>
      <c r="L296" s="11">
        <f t="shared" si="79"/>
        <v>1909.6611818618114</v>
      </c>
      <c r="M296" s="11">
        <f t="shared" si="80"/>
        <v>421.79711744867785</v>
      </c>
      <c r="N296" s="11">
        <f t="shared" si="81"/>
        <v>1487.8640644131335</v>
      </c>
      <c r="O296" s="11">
        <f t="shared" si="82"/>
        <v>125051.27117019022</v>
      </c>
      <c r="P296" s="11">
        <f t="shared" si="83"/>
        <v>803689.26194531925</v>
      </c>
      <c r="Q296" s="11">
        <f t="shared" si="84"/>
        <v>678637.99077512906</v>
      </c>
      <c r="R296" s="11">
        <f t="shared" si="85"/>
        <v>-998.58390796705839</v>
      </c>
      <c r="S296" s="11">
        <f t="shared" si="86"/>
        <v>-1420.3810254157363</v>
      </c>
      <c r="T296" s="11">
        <f t="shared" si="74"/>
        <v>923.71265525811145</v>
      </c>
    </row>
    <row r="297" spans="1:20">
      <c r="A297">
        <v>287</v>
      </c>
      <c r="B297" s="12">
        <f t="shared" si="72"/>
        <v>3819.3223637236229</v>
      </c>
      <c r="C297" s="12">
        <f t="shared" si="87"/>
        <v>833.6751411346014</v>
      </c>
      <c r="D297" s="12">
        <f t="shared" si="88"/>
        <v>2985.6472225890216</v>
      </c>
      <c r="E297" s="12">
        <f t="shared" si="89"/>
        <v>247116.8951177914</v>
      </c>
      <c r="F297" s="12">
        <f t="shared" si="75"/>
        <v>1610057.4880971229</v>
      </c>
      <c r="G297" s="12">
        <f t="shared" si="76"/>
        <v>1362940.5929793315</v>
      </c>
      <c r="H297" s="12">
        <f t="shared" si="77"/>
        <v>-743.04153075682086</v>
      </c>
      <c r="I297" s="12">
        <f t="shared" si="78"/>
        <v>-1576.7166718914223</v>
      </c>
      <c r="J297" s="12">
        <f t="shared" si="73"/>
        <v>1240.8839322785429</v>
      </c>
      <c r="K297" s="12"/>
      <c r="L297" s="11">
        <f t="shared" si="79"/>
        <v>1909.6611818618114</v>
      </c>
      <c r="M297" s="11">
        <f t="shared" si="80"/>
        <v>416.8375705673007</v>
      </c>
      <c r="N297" s="11">
        <f t="shared" si="81"/>
        <v>1492.8236112945108</v>
      </c>
      <c r="O297" s="11">
        <f t="shared" si="82"/>
        <v>123558.4475588957</v>
      </c>
      <c r="P297" s="11">
        <f t="shared" si="83"/>
        <v>805028.74404856144</v>
      </c>
      <c r="Q297" s="11">
        <f t="shared" si="84"/>
        <v>681470.29648966575</v>
      </c>
      <c r="R297" s="11">
        <f t="shared" si="85"/>
        <v>-1000.2482144803369</v>
      </c>
      <c r="S297" s="11">
        <f t="shared" si="86"/>
        <v>-1417.0857850476375</v>
      </c>
      <c r="T297" s="11">
        <f t="shared" si="74"/>
        <v>930.91471842733358</v>
      </c>
    </row>
    <row r="298" spans="1:20">
      <c r="A298">
        <v>288</v>
      </c>
      <c r="B298" s="12">
        <f t="shared" si="72"/>
        <v>3819.3223637236229</v>
      </c>
      <c r="C298" s="12">
        <f t="shared" si="87"/>
        <v>823.7229837259714</v>
      </c>
      <c r="D298" s="12">
        <f t="shared" si="88"/>
        <v>2995.5993799976513</v>
      </c>
      <c r="E298" s="12">
        <f t="shared" si="89"/>
        <v>244121.29573779376</v>
      </c>
      <c r="F298" s="12">
        <f t="shared" si="75"/>
        <v>1612740.9172439515</v>
      </c>
      <c r="G298" s="12">
        <f t="shared" si="76"/>
        <v>1368619.6215061578</v>
      </c>
      <c r="H298" s="12">
        <f t="shared" si="77"/>
        <v>-744.27993330808226</v>
      </c>
      <c r="I298" s="12">
        <f t="shared" si="78"/>
        <v>-1568.0029170340536</v>
      </c>
      <c r="J298" s="12">
        <f t="shared" si="73"/>
        <v>1254.2936881428609</v>
      </c>
      <c r="K298" s="12"/>
      <c r="L298" s="11">
        <f t="shared" si="79"/>
        <v>1909.6611818618114</v>
      </c>
      <c r="M298" s="11">
        <f t="shared" si="80"/>
        <v>411.8614918629857</v>
      </c>
      <c r="N298" s="11">
        <f t="shared" si="81"/>
        <v>1497.7996899988257</v>
      </c>
      <c r="O298" s="11">
        <f t="shared" si="82"/>
        <v>122060.64786889688</v>
      </c>
      <c r="P298" s="11">
        <f t="shared" si="83"/>
        <v>806370.45862197573</v>
      </c>
      <c r="Q298" s="11">
        <f t="shared" si="84"/>
        <v>684309.8107530789</v>
      </c>
      <c r="R298" s="11">
        <f t="shared" si="85"/>
        <v>-1001.9152948378041</v>
      </c>
      <c r="S298" s="11">
        <f t="shared" si="86"/>
        <v>-1413.7767867007899</v>
      </c>
      <c r="T298" s="11">
        <f t="shared" si="74"/>
        <v>938.13705094663942</v>
      </c>
    </row>
    <row r="299" spans="1:20">
      <c r="A299">
        <v>289</v>
      </c>
      <c r="B299" s="12">
        <f t="shared" si="72"/>
        <v>3819.3223637236229</v>
      </c>
      <c r="C299" s="12">
        <f t="shared" si="87"/>
        <v>813.73765245931247</v>
      </c>
      <c r="D299" s="12">
        <f t="shared" si="88"/>
        <v>3005.5847112643105</v>
      </c>
      <c r="E299" s="12">
        <f t="shared" si="89"/>
        <v>241115.71102652943</v>
      </c>
      <c r="F299" s="12">
        <f t="shared" si="75"/>
        <v>1615428.8187726915</v>
      </c>
      <c r="G299" s="12">
        <f t="shared" si="76"/>
        <v>1374313.107746162</v>
      </c>
      <c r="H299" s="12">
        <f t="shared" si="77"/>
        <v>-745.5203998635958</v>
      </c>
      <c r="I299" s="12">
        <f t="shared" si="78"/>
        <v>-1559.2580523229083</v>
      </c>
      <c r="J299" s="12">
        <f t="shared" si="73"/>
        <v>1267.7423805293017</v>
      </c>
      <c r="K299" s="12"/>
      <c r="L299" s="11">
        <f t="shared" si="79"/>
        <v>1909.6611818618114</v>
      </c>
      <c r="M299" s="11">
        <f t="shared" si="80"/>
        <v>406.86882622965624</v>
      </c>
      <c r="N299" s="11">
        <f t="shared" si="81"/>
        <v>1502.7923556321552</v>
      </c>
      <c r="O299" s="11">
        <f t="shared" si="82"/>
        <v>120557.85551326472</v>
      </c>
      <c r="P299" s="11">
        <f t="shared" si="83"/>
        <v>807714.40938634577</v>
      </c>
      <c r="Q299" s="11">
        <f t="shared" si="84"/>
        <v>687156.55387308099</v>
      </c>
      <c r="R299" s="11">
        <f t="shared" si="85"/>
        <v>-1003.5851536625338</v>
      </c>
      <c r="S299" s="11">
        <f t="shared" si="86"/>
        <v>-1410.4539798921901</v>
      </c>
      <c r="T299" s="11">
        <f t="shared" si="74"/>
        <v>945.37971415131824</v>
      </c>
    </row>
    <row r="300" spans="1:20">
      <c r="A300">
        <v>290</v>
      </c>
      <c r="B300" s="12">
        <f t="shared" si="72"/>
        <v>3819.3223637236229</v>
      </c>
      <c r="C300" s="12">
        <f t="shared" si="87"/>
        <v>803.71903675509805</v>
      </c>
      <c r="D300" s="12">
        <f t="shared" si="88"/>
        <v>3015.6033269685249</v>
      </c>
      <c r="E300" s="12">
        <f t="shared" si="89"/>
        <v>238100.1076995609</v>
      </c>
      <c r="F300" s="12">
        <f t="shared" si="75"/>
        <v>1618121.2001373128</v>
      </c>
      <c r="G300" s="12">
        <f t="shared" si="76"/>
        <v>1380021.0924377518</v>
      </c>
      <c r="H300" s="12">
        <f t="shared" si="77"/>
        <v>-746.76293386336852</v>
      </c>
      <c r="I300" s="12">
        <f t="shared" si="78"/>
        <v>-1550.4819706184667</v>
      </c>
      <c r="J300" s="12">
        <f t="shared" si="73"/>
        <v>1281.2301296218307</v>
      </c>
      <c r="K300" s="12"/>
      <c r="L300" s="11">
        <f t="shared" si="79"/>
        <v>1909.6611818618114</v>
      </c>
      <c r="M300" s="11">
        <f t="shared" si="80"/>
        <v>401.85951837754902</v>
      </c>
      <c r="N300" s="11">
        <f t="shared" si="81"/>
        <v>1507.8016634842625</v>
      </c>
      <c r="O300" s="11">
        <f t="shared" si="82"/>
        <v>119050.05384978045</v>
      </c>
      <c r="P300" s="11">
        <f t="shared" si="83"/>
        <v>809060.60006865638</v>
      </c>
      <c r="Q300" s="11">
        <f t="shared" si="84"/>
        <v>690010.54621887591</v>
      </c>
      <c r="R300" s="11">
        <f t="shared" si="85"/>
        <v>-1005.2577955853047</v>
      </c>
      <c r="S300" s="11">
        <f t="shared" si="86"/>
        <v>-1407.1173139628538</v>
      </c>
      <c r="T300" s="11">
        <f t="shared" si="74"/>
        <v>952.6427695707273</v>
      </c>
    </row>
    <row r="301" spans="1:20">
      <c r="A301">
        <v>291</v>
      </c>
      <c r="B301" s="12">
        <f t="shared" si="72"/>
        <v>3819.3223637236229</v>
      </c>
      <c r="C301" s="12">
        <f t="shared" si="87"/>
        <v>793.66702566520314</v>
      </c>
      <c r="D301" s="12">
        <f t="shared" si="88"/>
        <v>3025.6553380584196</v>
      </c>
      <c r="E301" s="12">
        <f t="shared" si="89"/>
        <v>235074.45236150248</v>
      </c>
      <c r="F301" s="12">
        <f t="shared" si="75"/>
        <v>1620818.0688042084</v>
      </c>
      <c r="G301" s="12">
        <f t="shared" si="76"/>
        <v>1385743.616442706</v>
      </c>
      <c r="H301" s="12">
        <f t="shared" si="77"/>
        <v>-748.00753875314081</v>
      </c>
      <c r="I301" s="12">
        <f t="shared" si="78"/>
        <v>-1541.6745644183438</v>
      </c>
      <c r="J301" s="12">
        <f t="shared" si="73"/>
        <v>1294.757055989021</v>
      </c>
      <c r="K301" s="12"/>
      <c r="L301" s="11">
        <f t="shared" si="79"/>
        <v>1909.6611818618114</v>
      </c>
      <c r="M301" s="11">
        <f t="shared" si="80"/>
        <v>396.83351283260157</v>
      </c>
      <c r="N301" s="11">
        <f t="shared" si="81"/>
        <v>1512.8276690292098</v>
      </c>
      <c r="O301" s="11">
        <f t="shared" si="82"/>
        <v>117537.22618075124</v>
      </c>
      <c r="P301" s="11">
        <f t="shared" si="83"/>
        <v>810409.03440210421</v>
      </c>
      <c r="Q301" s="11">
        <f t="shared" si="84"/>
        <v>692871.80822135299</v>
      </c>
      <c r="R301" s="11">
        <f t="shared" si="85"/>
        <v>-1006.9332252446136</v>
      </c>
      <c r="S301" s="11">
        <f t="shared" si="86"/>
        <v>-1403.7667380772152</v>
      </c>
      <c r="T301" s="11">
        <f t="shared" si="74"/>
        <v>959.9262789289221</v>
      </c>
    </row>
    <row r="302" spans="1:20">
      <c r="A302">
        <v>292</v>
      </c>
      <c r="B302" s="12">
        <f t="shared" si="72"/>
        <v>3819.3223637236229</v>
      </c>
      <c r="C302" s="12">
        <f t="shared" si="87"/>
        <v>783.58150787167494</v>
      </c>
      <c r="D302" s="12">
        <f t="shared" si="88"/>
        <v>3035.7408558519478</v>
      </c>
      <c r="E302" s="12">
        <f t="shared" si="89"/>
        <v>232038.71150565054</v>
      </c>
      <c r="F302" s="12">
        <f t="shared" si="75"/>
        <v>1623519.4322522155</v>
      </c>
      <c r="G302" s="12">
        <f t="shared" si="76"/>
        <v>1391480.7207465649</v>
      </c>
      <c r="H302" s="12">
        <f t="shared" si="77"/>
        <v>-749.25421798439606</v>
      </c>
      <c r="I302" s="12">
        <f t="shared" si="78"/>
        <v>-1532.8357258560709</v>
      </c>
      <c r="J302" s="12">
        <f t="shared" si="73"/>
        <v>1308.3232805853058</v>
      </c>
      <c r="K302" s="12"/>
      <c r="L302" s="11">
        <f t="shared" si="79"/>
        <v>1909.6611818618114</v>
      </c>
      <c r="M302" s="11">
        <f t="shared" si="80"/>
        <v>391.79075393583747</v>
      </c>
      <c r="N302" s="11">
        <f t="shared" si="81"/>
        <v>1517.8704279259739</v>
      </c>
      <c r="O302" s="11">
        <f t="shared" si="82"/>
        <v>116019.35575282527</v>
      </c>
      <c r="P302" s="11">
        <f t="shared" si="83"/>
        <v>811759.71612610773</v>
      </c>
      <c r="Q302" s="11">
        <f t="shared" si="84"/>
        <v>695740.36037328246</v>
      </c>
      <c r="R302" s="11">
        <f t="shared" si="85"/>
        <v>-1008.611447286688</v>
      </c>
      <c r="S302" s="11">
        <f t="shared" si="86"/>
        <v>-1400.4022012225255</v>
      </c>
      <c r="T302" s="11">
        <f t="shared" si="74"/>
        <v>967.23030414528876</v>
      </c>
    </row>
    <row r="303" spans="1:20">
      <c r="A303">
        <v>293</v>
      </c>
      <c r="B303" s="12">
        <f t="shared" si="72"/>
        <v>3819.3223637236229</v>
      </c>
      <c r="C303" s="12">
        <f t="shared" si="87"/>
        <v>773.46237168550181</v>
      </c>
      <c r="D303" s="12">
        <f t="shared" si="88"/>
        <v>3045.8599920381212</v>
      </c>
      <c r="E303" s="12">
        <f t="shared" si="89"/>
        <v>228992.85151361243</v>
      </c>
      <c r="F303" s="12">
        <f t="shared" si="75"/>
        <v>1626225.2979726358</v>
      </c>
      <c r="G303" s="12">
        <f t="shared" si="76"/>
        <v>1397232.4464590233</v>
      </c>
      <c r="H303" s="12">
        <f t="shared" si="77"/>
        <v>-750.50297501437012</v>
      </c>
      <c r="I303" s="12">
        <f t="shared" si="78"/>
        <v>-1523.965346699872</v>
      </c>
      <c r="J303" s="12">
        <f t="shared" si="73"/>
        <v>1321.9289247522406</v>
      </c>
      <c r="K303" s="12"/>
      <c r="L303" s="11">
        <f t="shared" si="79"/>
        <v>1909.6611818618114</v>
      </c>
      <c r="M303" s="11">
        <f t="shared" si="80"/>
        <v>386.7311858427509</v>
      </c>
      <c r="N303" s="11">
        <f t="shared" si="81"/>
        <v>1522.9299960190606</v>
      </c>
      <c r="O303" s="11">
        <f t="shared" si="82"/>
        <v>114496.42575680622</v>
      </c>
      <c r="P303" s="11">
        <f t="shared" si="83"/>
        <v>813112.64898631792</v>
      </c>
      <c r="Q303" s="11">
        <f t="shared" si="84"/>
        <v>698616.22322951164</v>
      </c>
      <c r="R303" s="11">
        <f t="shared" si="85"/>
        <v>-1010.2924663654992</v>
      </c>
      <c r="S303" s="11">
        <f t="shared" si="86"/>
        <v>-1397.02365220825</v>
      </c>
      <c r="T303" s="11">
        <f t="shared" si="74"/>
        <v>974.55490733517718</v>
      </c>
    </row>
    <row r="304" spans="1:20">
      <c r="A304">
        <v>294</v>
      </c>
      <c r="B304" s="12">
        <f t="shared" si="72"/>
        <v>3819.3223637236229</v>
      </c>
      <c r="C304" s="12">
        <f t="shared" si="87"/>
        <v>763.30950504537486</v>
      </c>
      <c r="D304" s="12">
        <f t="shared" si="88"/>
        <v>3056.012858678248</v>
      </c>
      <c r="E304" s="12">
        <f t="shared" si="89"/>
        <v>225936.8386549342</v>
      </c>
      <c r="F304" s="12">
        <f t="shared" si="75"/>
        <v>1628935.6734692568</v>
      </c>
      <c r="G304" s="12">
        <f t="shared" si="76"/>
        <v>1402998.8348143226</v>
      </c>
      <c r="H304" s="12">
        <f t="shared" si="77"/>
        <v>-751.75381330606081</v>
      </c>
      <c r="I304" s="12">
        <f t="shared" si="78"/>
        <v>-1515.0633183514356</v>
      </c>
      <c r="J304" s="12">
        <f t="shared" si="73"/>
        <v>1335.574110219764</v>
      </c>
      <c r="K304" s="12"/>
      <c r="L304" s="11">
        <f t="shared" si="79"/>
        <v>1909.6611818618114</v>
      </c>
      <c r="M304" s="11">
        <f t="shared" si="80"/>
        <v>381.65475252268743</v>
      </c>
      <c r="N304" s="11">
        <f t="shared" si="81"/>
        <v>1528.006429339124</v>
      </c>
      <c r="O304" s="11">
        <f t="shared" si="82"/>
        <v>112968.4193274671</v>
      </c>
      <c r="P304" s="11">
        <f t="shared" si="83"/>
        <v>814467.83673462842</v>
      </c>
      <c r="Q304" s="11">
        <f t="shared" si="84"/>
        <v>701499.41740716132</v>
      </c>
      <c r="R304" s="11">
        <f t="shared" si="85"/>
        <v>-1011.976287142775</v>
      </c>
      <c r="S304" s="11">
        <f t="shared" si="86"/>
        <v>-1393.6310396654626</v>
      </c>
      <c r="T304" s="11">
        <f t="shared" si="74"/>
        <v>981.90015081053707</v>
      </c>
    </row>
    <row r="305" spans="1:20">
      <c r="A305">
        <v>295</v>
      </c>
      <c r="B305" s="12">
        <f t="shared" si="72"/>
        <v>3819.3223637236229</v>
      </c>
      <c r="C305" s="12">
        <f t="shared" si="87"/>
        <v>753.12279551644735</v>
      </c>
      <c r="D305" s="12">
        <f t="shared" si="88"/>
        <v>3066.1995682071756</v>
      </c>
      <c r="E305" s="12">
        <f t="shared" si="89"/>
        <v>222870.63908672702</v>
      </c>
      <c r="F305" s="12">
        <f t="shared" si="75"/>
        <v>1631650.5662583723</v>
      </c>
      <c r="G305" s="12">
        <f t="shared" si="76"/>
        <v>1408779.9271716452</v>
      </c>
      <c r="H305" s="12">
        <f t="shared" si="77"/>
        <v>-753.00673632823759</v>
      </c>
      <c r="I305" s="12">
        <f t="shared" si="78"/>
        <v>-1506.1295318446851</v>
      </c>
      <c r="J305" s="12">
        <f t="shared" si="73"/>
        <v>1349.2589591074661</v>
      </c>
      <c r="K305" s="12"/>
      <c r="L305" s="11">
        <f t="shared" si="79"/>
        <v>1909.6611818618114</v>
      </c>
      <c r="M305" s="11">
        <f t="shared" si="80"/>
        <v>376.56139775822368</v>
      </c>
      <c r="N305" s="11">
        <f t="shared" si="81"/>
        <v>1533.0997841035878</v>
      </c>
      <c r="O305" s="11">
        <f t="shared" si="82"/>
        <v>111435.31954336351</v>
      </c>
      <c r="P305" s="11">
        <f t="shared" si="83"/>
        <v>815825.28312918614</v>
      </c>
      <c r="Q305" s="11">
        <f t="shared" si="84"/>
        <v>704389.96358582261</v>
      </c>
      <c r="R305" s="11">
        <f t="shared" si="85"/>
        <v>-1013.6629142880131</v>
      </c>
      <c r="S305" s="11">
        <f t="shared" si="86"/>
        <v>-1390.2243120462367</v>
      </c>
      <c r="T305" s="11">
        <f t="shared" si="74"/>
        <v>989.26609708055594</v>
      </c>
    </row>
    <row r="306" spans="1:20">
      <c r="A306">
        <v>296</v>
      </c>
      <c r="B306" s="12">
        <f t="shared" si="72"/>
        <v>3819.3223637236229</v>
      </c>
      <c r="C306" s="12">
        <f t="shared" si="87"/>
        <v>742.90213028909011</v>
      </c>
      <c r="D306" s="12">
        <f t="shared" si="88"/>
        <v>3076.4202334345327</v>
      </c>
      <c r="E306" s="12">
        <f t="shared" si="89"/>
        <v>219794.21885329249</v>
      </c>
      <c r="F306" s="12">
        <f t="shared" si="75"/>
        <v>1634369.9838688029</v>
      </c>
      <c r="G306" s="12">
        <f t="shared" si="76"/>
        <v>1414575.7650155104</v>
      </c>
      <c r="H306" s="12">
        <f t="shared" si="77"/>
        <v>-754.26174755545139</v>
      </c>
      <c r="I306" s="12">
        <f t="shared" si="78"/>
        <v>-1497.1638778445415</v>
      </c>
      <c r="J306" s="12">
        <f t="shared" si="73"/>
        <v>1362.9835939258635</v>
      </c>
      <c r="K306" s="12"/>
      <c r="L306" s="11">
        <f t="shared" si="79"/>
        <v>1909.6611818618114</v>
      </c>
      <c r="M306" s="11">
        <f t="shared" si="80"/>
        <v>371.45106514454505</v>
      </c>
      <c r="N306" s="11">
        <f t="shared" si="81"/>
        <v>1538.2101167172664</v>
      </c>
      <c r="O306" s="11">
        <f t="shared" si="82"/>
        <v>109897.10942664625</v>
      </c>
      <c r="P306" s="11">
        <f t="shared" si="83"/>
        <v>817184.99193440145</v>
      </c>
      <c r="Q306" s="11">
        <f t="shared" si="84"/>
        <v>707287.88250775519</v>
      </c>
      <c r="R306" s="11">
        <f t="shared" si="85"/>
        <v>-1015.3523524784931</v>
      </c>
      <c r="S306" s="11">
        <f t="shared" si="86"/>
        <v>-1386.8034176230381</v>
      </c>
      <c r="T306" s="11">
        <f t="shared" si="74"/>
        <v>996.65280885229959</v>
      </c>
    </row>
    <row r="307" spans="1:20">
      <c r="A307">
        <v>297</v>
      </c>
      <c r="B307" s="12">
        <f t="shared" si="72"/>
        <v>3819.3223637236229</v>
      </c>
      <c r="C307" s="12">
        <f t="shared" si="87"/>
        <v>732.64739617764155</v>
      </c>
      <c r="D307" s="12">
        <f t="shared" si="88"/>
        <v>3086.6749675459814</v>
      </c>
      <c r="E307" s="12">
        <f t="shared" si="89"/>
        <v>216707.54388574651</v>
      </c>
      <c r="F307" s="12">
        <f t="shared" si="75"/>
        <v>1637093.9338419177</v>
      </c>
      <c r="G307" s="12">
        <f t="shared" si="76"/>
        <v>1420386.3899561712</v>
      </c>
      <c r="H307" s="12">
        <f t="shared" si="77"/>
        <v>-755.51885046804387</v>
      </c>
      <c r="I307" s="12">
        <f t="shared" si="78"/>
        <v>-1488.1662466456855</v>
      </c>
      <c r="J307" s="12">
        <f t="shared" si="73"/>
        <v>1376.7481375776701</v>
      </c>
      <c r="K307" s="12"/>
      <c r="L307" s="11">
        <f t="shared" si="79"/>
        <v>1909.6611818618114</v>
      </c>
      <c r="M307" s="11">
        <f t="shared" si="80"/>
        <v>366.32369808882078</v>
      </c>
      <c r="N307" s="11">
        <f t="shared" si="81"/>
        <v>1543.3374837729907</v>
      </c>
      <c r="O307" s="11">
        <f t="shared" si="82"/>
        <v>108353.77194287325</v>
      </c>
      <c r="P307" s="11">
        <f t="shared" si="83"/>
        <v>818546.96692095883</v>
      </c>
      <c r="Q307" s="11">
        <f t="shared" si="84"/>
        <v>710193.19497808558</v>
      </c>
      <c r="R307" s="11">
        <f t="shared" si="85"/>
        <v>-1017.0446063992906</v>
      </c>
      <c r="S307" s="11">
        <f t="shared" si="86"/>
        <v>-1383.3683044881113</v>
      </c>
      <c r="T307" s="11">
        <f t="shared" si="74"/>
        <v>1004.0603490313524</v>
      </c>
    </row>
    <row r="308" spans="1:20">
      <c r="A308">
        <v>298</v>
      </c>
      <c r="B308" s="12">
        <f t="shared" si="72"/>
        <v>3819.3223637236229</v>
      </c>
      <c r="C308" s="12">
        <f t="shared" si="87"/>
        <v>722.35847961915499</v>
      </c>
      <c r="D308" s="12">
        <f t="shared" si="88"/>
        <v>3096.963884104468</v>
      </c>
      <c r="E308" s="12">
        <f t="shared" si="89"/>
        <v>213610.58000164203</v>
      </c>
      <c r="F308" s="12">
        <f t="shared" si="75"/>
        <v>1639822.4237316542</v>
      </c>
      <c r="G308" s="12">
        <f t="shared" si="76"/>
        <v>1426211.8437300122</v>
      </c>
      <c r="H308" s="12">
        <f t="shared" si="77"/>
        <v>-756.77804855215732</v>
      </c>
      <c r="I308" s="12">
        <f t="shared" si="78"/>
        <v>-1479.1365281713124</v>
      </c>
      <c r="J308" s="12">
        <f t="shared" si="73"/>
        <v>1390.5527133590817</v>
      </c>
      <c r="K308" s="12"/>
      <c r="L308" s="11">
        <f t="shared" si="79"/>
        <v>1909.6611818618114</v>
      </c>
      <c r="M308" s="11">
        <f t="shared" si="80"/>
        <v>361.1792398095775</v>
      </c>
      <c r="N308" s="11">
        <f t="shared" si="81"/>
        <v>1548.481942052234</v>
      </c>
      <c r="O308" s="11">
        <f t="shared" si="82"/>
        <v>106805.29000082101</v>
      </c>
      <c r="P308" s="11">
        <f t="shared" si="83"/>
        <v>819911.21186582709</v>
      </c>
      <c r="Q308" s="11">
        <f t="shared" si="84"/>
        <v>713105.92186500609</v>
      </c>
      <c r="R308" s="11">
        <f t="shared" si="85"/>
        <v>-1018.7396807432895</v>
      </c>
      <c r="S308" s="11">
        <f t="shared" si="86"/>
        <v>-1379.9189205528669</v>
      </c>
      <c r="T308" s="11">
        <f t="shared" si="74"/>
        <v>1011.4887807224623</v>
      </c>
    </row>
    <row r="309" spans="1:20">
      <c r="A309">
        <v>299</v>
      </c>
      <c r="B309" s="12">
        <f t="shared" si="72"/>
        <v>3819.3223637236229</v>
      </c>
      <c r="C309" s="12">
        <f t="shared" si="87"/>
        <v>712.0352666721401</v>
      </c>
      <c r="D309" s="12">
        <f t="shared" si="88"/>
        <v>3107.2870970514828</v>
      </c>
      <c r="E309" s="12">
        <f t="shared" si="89"/>
        <v>210503.29290459055</v>
      </c>
      <c r="F309" s="12">
        <f t="shared" si="75"/>
        <v>1642555.4611045404</v>
      </c>
      <c r="G309" s="12">
        <f t="shared" si="76"/>
        <v>1432052.1681999499</v>
      </c>
      <c r="H309" s="12">
        <f t="shared" si="77"/>
        <v>-758.03934529974424</v>
      </c>
      <c r="I309" s="12">
        <f t="shared" si="78"/>
        <v>-1470.0746119718842</v>
      </c>
      <c r="J309" s="12">
        <f t="shared" si="73"/>
        <v>1404.3974449610614</v>
      </c>
      <c r="K309" s="12"/>
      <c r="L309" s="11">
        <f t="shared" si="79"/>
        <v>1909.6611818618114</v>
      </c>
      <c r="M309" s="11">
        <f t="shared" si="80"/>
        <v>356.01763333607005</v>
      </c>
      <c r="N309" s="11">
        <f t="shared" si="81"/>
        <v>1553.6435485257414</v>
      </c>
      <c r="O309" s="11">
        <f t="shared" si="82"/>
        <v>105251.64645229527</v>
      </c>
      <c r="P309" s="11">
        <f t="shared" si="83"/>
        <v>821277.73055227019</v>
      </c>
      <c r="Q309" s="11">
        <f t="shared" si="84"/>
        <v>716026.08409997495</v>
      </c>
      <c r="R309" s="11">
        <f t="shared" si="85"/>
        <v>-1020.4375802111949</v>
      </c>
      <c r="S309" s="11">
        <f t="shared" si="86"/>
        <v>-1376.455213547265</v>
      </c>
      <c r="T309" s="11">
        <f t="shared" si="74"/>
        <v>1018.9381672301897</v>
      </c>
    </row>
    <row r="310" spans="1:20">
      <c r="A310">
        <v>300</v>
      </c>
      <c r="B310" s="12">
        <f t="shared" si="72"/>
        <v>3819.3223637236229</v>
      </c>
      <c r="C310" s="12">
        <f t="shared" si="87"/>
        <v>701.67764301530178</v>
      </c>
      <c r="D310" s="12">
        <f t="shared" si="88"/>
        <v>3117.6447207083211</v>
      </c>
      <c r="E310" s="12">
        <f t="shared" si="89"/>
        <v>207385.64818388224</v>
      </c>
      <c r="F310" s="12">
        <f t="shared" si="75"/>
        <v>1645293.0535397148</v>
      </c>
      <c r="G310" s="12">
        <f t="shared" si="76"/>
        <v>1437907.4053558325</v>
      </c>
      <c r="H310" s="12">
        <f t="shared" si="77"/>
        <v>-759.30274420857722</v>
      </c>
      <c r="I310" s="12">
        <f t="shared" si="78"/>
        <v>-1460.980387223879</v>
      </c>
      <c r="J310" s="12">
        <f t="shared" si="73"/>
        <v>1418.2824564706216</v>
      </c>
      <c r="K310" s="12"/>
      <c r="L310" s="11">
        <f t="shared" si="79"/>
        <v>1909.6611818618114</v>
      </c>
      <c r="M310" s="11">
        <f t="shared" si="80"/>
        <v>350.83882150765089</v>
      </c>
      <c r="N310" s="11">
        <f t="shared" si="81"/>
        <v>1558.8223603541605</v>
      </c>
      <c r="O310" s="11">
        <f t="shared" si="82"/>
        <v>103692.82409194112</v>
      </c>
      <c r="P310" s="11">
        <f t="shared" si="83"/>
        <v>822646.52676985739</v>
      </c>
      <c r="Q310" s="11">
        <f t="shared" si="84"/>
        <v>718953.70267791627</v>
      </c>
      <c r="R310" s="11">
        <f t="shared" si="85"/>
        <v>-1022.1383095115469</v>
      </c>
      <c r="S310" s="11">
        <f t="shared" si="86"/>
        <v>-1372.9771310191977</v>
      </c>
      <c r="T310" s="11">
        <f t="shared" si="74"/>
        <v>1026.4085720595531</v>
      </c>
    </row>
    <row r="311" spans="1:20">
      <c r="A311">
        <v>301</v>
      </c>
      <c r="B311" s="12">
        <f t="shared" si="72"/>
        <v>3819.3223637236229</v>
      </c>
      <c r="C311" s="12">
        <f t="shared" si="87"/>
        <v>691.28549394627407</v>
      </c>
      <c r="D311" s="12">
        <f t="shared" si="88"/>
        <v>3128.0368697773488</v>
      </c>
      <c r="E311" s="12">
        <f t="shared" si="89"/>
        <v>204257.6113141049</v>
      </c>
      <c r="F311" s="12">
        <f t="shared" si="75"/>
        <v>1648035.2086289476</v>
      </c>
      <c r="G311" s="12">
        <f t="shared" si="76"/>
        <v>1443777.5973148427</v>
      </c>
      <c r="H311" s="12">
        <f t="shared" si="77"/>
        <v>-760.56824878225825</v>
      </c>
      <c r="I311" s="12">
        <f t="shared" si="78"/>
        <v>-1451.8537427285323</v>
      </c>
      <c r="J311" s="12">
        <f t="shared" si="73"/>
        <v>1432.2078723721261</v>
      </c>
      <c r="K311" s="12"/>
      <c r="L311" s="11">
        <f t="shared" si="79"/>
        <v>1909.6611818618114</v>
      </c>
      <c r="M311" s="11">
        <f t="shared" si="80"/>
        <v>345.64274697313704</v>
      </c>
      <c r="N311" s="11">
        <f t="shared" si="81"/>
        <v>1564.0184348886744</v>
      </c>
      <c r="O311" s="11">
        <f t="shared" si="82"/>
        <v>102128.80565705245</v>
      </c>
      <c r="P311" s="11">
        <f t="shared" si="83"/>
        <v>824017.60431447381</v>
      </c>
      <c r="Q311" s="11">
        <f t="shared" si="84"/>
        <v>721888.79865742137</v>
      </c>
      <c r="R311" s="11">
        <f t="shared" si="85"/>
        <v>-1023.8418733607328</v>
      </c>
      <c r="S311" s="11">
        <f t="shared" si="86"/>
        <v>-1369.4846203338698</v>
      </c>
      <c r="T311" s="11">
        <f t="shared" si="74"/>
        <v>1033.900058916679</v>
      </c>
    </row>
    <row r="312" spans="1:20">
      <c r="A312">
        <v>302</v>
      </c>
      <c r="B312" s="12">
        <f t="shared" si="72"/>
        <v>3819.3223637236229</v>
      </c>
      <c r="C312" s="12">
        <f t="shared" si="87"/>
        <v>680.85870438034965</v>
      </c>
      <c r="D312" s="12">
        <f t="shared" si="88"/>
        <v>3138.4636593432733</v>
      </c>
      <c r="E312" s="12">
        <f t="shared" si="89"/>
        <v>201119.14765476162</v>
      </c>
      <c r="F312" s="12">
        <f t="shared" si="75"/>
        <v>1650781.9339766626</v>
      </c>
      <c r="G312" s="12">
        <f t="shared" si="76"/>
        <v>1449662.786321901</v>
      </c>
      <c r="H312" s="12">
        <f t="shared" si="77"/>
        <v>-761.83586253022872</v>
      </c>
      <c r="I312" s="12">
        <f t="shared" si="78"/>
        <v>-1442.6945669105785</v>
      </c>
      <c r="J312" s="12">
        <f t="shared" si="73"/>
        <v>1446.1738175485807</v>
      </c>
      <c r="K312" s="12"/>
      <c r="L312" s="11">
        <f t="shared" si="79"/>
        <v>1909.6611818618114</v>
      </c>
      <c r="M312" s="11">
        <f t="shared" si="80"/>
        <v>340.42935219017482</v>
      </c>
      <c r="N312" s="11">
        <f t="shared" si="81"/>
        <v>1569.2318296716367</v>
      </c>
      <c r="O312" s="11">
        <f t="shared" si="82"/>
        <v>100559.57382738081</v>
      </c>
      <c r="P312" s="11">
        <f t="shared" si="83"/>
        <v>825390.96698833129</v>
      </c>
      <c r="Q312" s="11">
        <f t="shared" si="84"/>
        <v>724831.39316095051</v>
      </c>
      <c r="R312" s="11">
        <f t="shared" si="85"/>
        <v>-1025.5482764830008</v>
      </c>
      <c r="S312" s="11">
        <f t="shared" si="86"/>
        <v>-1365.9776286731756</v>
      </c>
      <c r="T312" s="11">
        <f t="shared" si="74"/>
        <v>1041.4126917094575</v>
      </c>
    </row>
    <row r="313" spans="1:20">
      <c r="A313">
        <v>303</v>
      </c>
      <c r="B313" s="12">
        <f t="shared" si="72"/>
        <v>3819.3223637236229</v>
      </c>
      <c r="C313" s="12">
        <f t="shared" si="87"/>
        <v>670.39715884920543</v>
      </c>
      <c r="D313" s="12">
        <f t="shared" si="88"/>
        <v>3148.9252048744174</v>
      </c>
      <c r="E313" s="12">
        <f t="shared" si="89"/>
        <v>197970.22244988719</v>
      </c>
      <c r="F313" s="12">
        <f t="shared" si="75"/>
        <v>1653533.237199957</v>
      </c>
      <c r="G313" s="12">
        <f t="shared" si="76"/>
        <v>1455563.0147500699</v>
      </c>
      <c r="H313" s="12">
        <f t="shared" si="77"/>
        <v>-763.10558896777911</v>
      </c>
      <c r="I313" s="12">
        <f t="shared" si="78"/>
        <v>-1433.5027478169845</v>
      </c>
      <c r="J313" s="12">
        <f t="shared" si="73"/>
        <v>1460.1804172829402</v>
      </c>
      <c r="K313" s="12"/>
      <c r="L313" s="11">
        <f t="shared" si="79"/>
        <v>1909.6611818618114</v>
      </c>
      <c r="M313" s="11">
        <f t="shared" si="80"/>
        <v>335.19857942460271</v>
      </c>
      <c r="N313" s="11">
        <f t="shared" si="81"/>
        <v>1574.4626024372087</v>
      </c>
      <c r="O313" s="11">
        <f t="shared" si="82"/>
        <v>98985.111224943597</v>
      </c>
      <c r="P313" s="11">
        <f t="shared" si="83"/>
        <v>826766.61859997851</v>
      </c>
      <c r="Q313" s="11">
        <f t="shared" si="84"/>
        <v>727781.50737503497</v>
      </c>
      <c r="R313" s="11">
        <f t="shared" si="85"/>
        <v>-1027.2575236104724</v>
      </c>
      <c r="S313" s="11">
        <f t="shared" si="86"/>
        <v>-1362.4561030350751</v>
      </c>
      <c r="T313" s="11">
        <f t="shared" si="74"/>
        <v>1048.9465345481954</v>
      </c>
    </row>
    <row r="314" spans="1:20">
      <c r="A314">
        <v>304</v>
      </c>
      <c r="B314" s="12">
        <f t="shared" si="72"/>
        <v>3819.3223637236229</v>
      </c>
      <c r="C314" s="12">
        <f t="shared" si="87"/>
        <v>659.90074149962402</v>
      </c>
      <c r="D314" s="12">
        <f t="shared" si="88"/>
        <v>3159.4216222239988</v>
      </c>
      <c r="E314" s="12">
        <f t="shared" si="89"/>
        <v>194810.80082766319</v>
      </c>
      <c r="F314" s="12">
        <f t="shared" si="75"/>
        <v>1656289.1259286236</v>
      </c>
      <c r="G314" s="12">
        <f t="shared" si="76"/>
        <v>1461478.3251009604</v>
      </c>
      <c r="H314" s="12">
        <f t="shared" si="77"/>
        <v>-764.37743161605874</v>
      </c>
      <c r="I314" s="12">
        <f t="shared" si="78"/>
        <v>-1424.2781731156829</v>
      </c>
      <c r="J314" s="12">
        <f t="shared" si="73"/>
        <v>1474.2277972594084</v>
      </c>
      <c r="K314" s="12"/>
      <c r="L314" s="11">
        <f t="shared" si="79"/>
        <v>1909.6611818618114</v>
      </c>
      <c r="M314" s="11">
        <f t="shared" si="80"/>
        <v>329.95037074981201</v>
      </c>
      <c r="N314" s="11">
        <f t="shared" si="81"/>
        <v>1579.7108111119994</v>
      </c>
      <c r="O314" s="11">
        <f t="shared" si="82"/>
        <v>97405.400413831594</v>
      </c>
      <c r="P314" s="11">
        <f t="shared" si="83"/>
        <v>828144.5629643118</v>
      </c>
      <c r="Q314" s="11">
        <f t="shared" si="84"/>
        <v>730739.16255048022</v>
      </c>
      <c r="R314" s="11">
        <f t="shared" si="85"/>
        <v>-1028.9696194831565</v>
      </c>
      <c r="S314" s="11">
        <f t="shared" si="86"/>
        <v>-1358.9199902329685</v>
      </c>
      <c r="T314" s="11">
        <f t="shared" si="74"/>
        <v>1056.5016517462743</v>
      </c>
    </row>
    <row r="315" spans="1:20">
      <c r="A315">
        <v>305</v>
      </c>
      <c r="B315" s="12">
        <f t="shared" si="72"/>
        <v>3819.3223637236229</v>
      </c>
      <c r="C315" s="12">
        <f t="shared" si="87"/>
        <v>649.36933609221057</v>
      </c>
      <c r="D315" s="12">
        <f t="shared" si="88"/>
        <v>3169.9530276314122</v>
      </c>
      <c r="E315" s="12">
        <f t="shared" si="89"/>
        <v>191640.84780003177</v>
      </c>
      <c r="F315" s="12">
        <f t="shared" si="75"/>
        <v>1659049.6078051713</v>
      </c>
      <c r="G315" s="12">
        <f t="shared" si="76"/>
        <v>1467408.7600051395</v>
      </c>
      <c r="H315" s="12">
        <f t="shared" si="77"/>
        <v>-765.65139400208557</v>
      </c>
      <c r="I315" s="12">
        <f t="shared" si="78"/>
        <v>-1415.0207300942961</v>
      </c>
      <c r="J315" s="12">
        <f t="shared" si="73"/>
        <v>1488.3160835647532</v>
      </c>
      <c r="K315" s="12"/>
      <c r="L315" s="11">
        <f t="shared" si="79"/>
        <v>1909.6611818618114</v>
      </c>
      <c r="M315" s="11">
        <f t="shared" si="80"/>
        <v>324.68466804610529</v>
      </c>
      <c r="N315" s="11">
        <f t="shared" si="81"/>
        <v>1584.9765138157061</v>
      </c>
      <c r="O315" s="11">
        <f t="shared" si="82"/>
        <v>95820.423900015885</v>
      </c>
      <c r="P315" s="11">
        <f t="shared" si="83"/>
        <v>829524.80390258564</v>
      </c>
      <c r="Q315" s="11">
        <f t="shared" si="84"/>
        <v>733704.38000256976</v>
      </c>
      <c r="R315" s="11">
        <f t="shared" si="85"/>
        <v>-1030.6845688489618</v>
      </c>
      <c r="S315" s="11">
        <f t="shared" si="86"/>
        <v>-1355.3692368950672</v>
      </c>
      <c r="T315" s="11">
        <f t="shared" si="74"/>
        <v>1064.0781078208076</v>
      </c>
    </row>
    <row r="316" spans="1:20">
      <c r="A316">
        <v>306</v>
      </c>
      <c r="B316" s="12">
        <f t="shared" si="72"/>
        <v>3819.3223637236229</v>
      </c>
      <c r="C316" s="12">
        <f t="shared" si="87"/>
        <v>638.80282600010594</v>
      </c>
      <c r="D316" s="12">
        <f t="shared" si="88"/>
        <v>3180.5195377235168</v>
      </c>
      <c r="E316" s="12">
        <f t="shared" si="89"/>
        <v>188460.32826230826</v>
      </c>
      <c r="F316" s="12">
        <f t="shared" si="75"/>
        <v>1661814.6904848467</v>
      </c>
      <c r="G316" s="12">
        <f t="shared" si="76"/>
        <v>1473354.3622225383</v>
      </c>
      <c r="H316" s="12">
        <f t="shared" si="77"/>
        <v>-766.92747965875571</v>
      </c>
      <c r="I316" s="12">
        <f t="shared" si="78"/>
        <v>-1405.7303056588617</v>
      </c>
      <c r="J316" s="12">
        <f t="shared" si="73"/>
        <v>1502.4454026896201</v>
      </c>
      <c r="K316" s="12"/>
      <c r="L316" s="11">
        <f t="shared" si="79"/>
        <v>1909.6611818618114</v>
      </c>
      <c r="M316" s="11">
        <f t="shared" si="80"/>
        <v>319.40141300005297</v>
      </c>
      <c r="N316" s="11">
        <f t="shared" si="81"/>
        <v>1590.2597688617584</v>
      </c>
      <c r="O316" s="11">
        <f t="shared" si="82"/>
        <v>94230.164131154132</v>
      </c>
      <c r="P316" s="11">
        <f t="shared" si="83"/>
        <v>830907.34524242335</v>
      </c>
      <c r="Q316" s="11">
        <f t="shared" si="84"/>
        <v>736677.18111126916</v>
      </c>
      <c r="R316" s="11">
        <f t="shared" si="85"/>
        <v>-1032.4023764637102</v>
      </c>
      <c r="S316" s="11">
        <f t="shared" si="86"/>
        <v>-1351.8037894637632</v>
      </c>
      <c r="T316" s="11">
        <f t="shared" si="74"/>
        <v>1071.6759674933051</v>
      </c>
    </row>
    <row r="317" spans="1:20">
      <c r="A317">
        <v>307</v>
      </c>
      <c r="B317" s="12">
        <f t="shared" si="72"/>
        <v>3819.3223637236229</v>
      </c>
      <c r="C317" s="12">
        <f t="shared" si="87"/>
        <v>628.20109420769415</v>
      </c>
      <c r="D317" s="12">
        <f t="shared" si="88"/>
        <v>3191.1212695159288</v>
      </c>
      <c r="E317" s="12">
        <f t="shared" si="89"/>
        <v>185269.20699279234</v>
      </c>
      <c r="F317" s="12">
        <f t="shared" si="75"/>
        <v>1664584.381635655</v>
      </c>
      <c r="G317" s="12">
        <f t="shared" si="76"/>
        <v>1479315.1746428625</v>
      </c>
      <c r="H317" s="12">
        <f t="shared" si="77"/>
        <v>-768.20569212485373</v>
      </c>
      <c r="I317" s="12">
        <f t="shared" si="78"/>
        <v>-1396.4067863325479</v>
      </c>
      <c r="J317" s="12">
        <f t="shared" si="73"/>
        <v>1516.6158815298479</v>
      </c>
      <c r="K317" s="12"/>
      <c r="L317" s="11">
        <f t="shared" si="79"/>
        <v>1909.6611818618114</v>
      </c>
      <c r="M317" s="11">
        <f t="shared" si="80"/>
        <v>314.10054710384708</v>
      </c>
      <c r="N317" s="11">
        <f t="shared" si="81"/>
        <v>1595.5606347579644</v>
      </c>
      <c r="O317" s="11">
        <f t="shared" si="82"/>
        <v>92634.603496396172</v>
      </c>
      <c r="P317" s="11">
        <f t="shared" si="83"/>
        <v>832292.19081782748</v>
      </c>
      <c r="Q317" s="11">
        <f t="shared" si="84"/>
        <v>739657.58732143126</v>
      </c>
      <c r="R317" s="11">
        <f t="shared" si="85"/>
        <v>-1034.1230470911498</v>
      </c>
      <c r="S317" s="11">
        <f t="shared" si="86"/>
        <v>-1348.2235941949968</v>
      </c>
      <c r="T317" s="11">
        <f t="shared" si="74"/>
        <v>1079.2952956903334</v>
      </c>
    </row>
    <row r="318" spans="1:20">
      <c r="A318">
        <v>308</v>
      </c>
      <c r="B318" s="12">
        <f t="shared" si="72"/>
        <v>3819.3223637236229</v>
      </c>
      <c r="C318" s="12">
        <f t="shared" si="87"/>
        <v>617.5640233093078</v>
      </c>
      <c r="D318" s="12">
        <f t="shared" si="88"/>
        <v>3201.7583404143152</v>
      </c>
      <c r="E318" s="12">
        <f t="shared" si="89"/>
        <v>182067.44865237802</v>
      </c>
      <c r="F318" s="12">
        <f t="shared" si="75"/>
        <v>1667358.6889383812</v>
      </c>
      <c r="G318" s="12">
        <f t="shared" si="76"/>
        <v>1485291.2402860031</v>
      </c>
      <c r="H318" s="12">
        <f t="shared" si="77"/>
        <v>-769.48603494506187</v>
      </c>
      <c r="I318" s="12">
        <f t="shared" si="78"/>
        <v>-1387.0500582543696</v>
      </c>
      <c r="J318" s="12">
        <f t="shared" si="73"/>
        <v>1530.8276473877968</v>
      </c>
      <c r="K318" s="12"/>
      <c r="L318" s="11">
        <f t="shared" si="79"/>
        <v>1909.6611818618114</v>
      </c>
      <c r="M318" s="11">
        <f t="shared" si="80"/>
        <v>308.7820116546539</v>
      </c>
      <c r="N318" s="11">
        <f t="shared" si="81"/>
        <v>1600.8791702071576</v>
      </c>
      <c r="O318" s="11">
        <f t="shared" si="82"/>
        <v>91033.724326189011</v>
      </c>
      <c r="P318" s="11">
        <f t="shared" si="83"/>
        <v>833679.34446919058</v>
      </c>
      <c r="Q318" s="11">
        <f t="shared" si="84"/>
        <v>742645.62014300155</v>
      </c>
      <c r="R318" s="11">
        <f t="shared" si="85"/>
        <v>-1035.8465855029685</v>
      </c>
      <c r="S318" s="11">
        <f t="shared" si="86"/>
        <v>-1344.6285971576224</v>
      </c>
      <c r="T318" s="11">
        <f t="shared" si="74"/>
        <v>1086.9361575441837</v>
      </c>
    </row>
    <row r="319" spans="1:20">
      <c r="A319">
        <v>309</v>
      </c>
      <c r="B319" s="12">
        <f t="shared" si="72"/>
        <v>3819.3223637236229</v>
      </c>
      <c r="C319" s="12">
        <f t="shared" si="87"/>
        <v>606.89149550792672</v>
      </c>
      <c r="D319" s="12">
        <f t="shared" si="88"/>
        <v>3212.4308682156961</v>
      </c>
      <c r="E319" s="12">
        <f t="shared" si="89"/>
        <v>178855.01778416234</v>
      </c>
      <c r="F319" s="12">
        <f t="shared" si="75"/>
        <v>1670137.6200866119</v>
      </c>
      <c r="G319" s="12">
        <f t="shared" si="76"/>
        <v>1491282.6023024495</v>
      </c>
      <c r="H319" s="12">
        <f t="shared" si="77"/>
        <v>-770.76851166997039</v>
      </c>
      <c r="I319" s="12">
        <f t="shared" si="78"/>
        <v>-1377.6600071778971</v>
      </c>
      <c r="J319" s="12">
        <f t="shared" si="73"/>
        <v>1545.0808279736734</v>
      </c>
      <c r="K319" s="12"/>
      <c r="L319" s="11">
        <f t="shared" si="79"/>
        <v>1909.6611818618114</v>
      </c>
      <c r="M319" s="11">
        <f t="shared" si="80"/>
        <v>303.44574775396336</v>
      </c>
      <c r="N319" s="11">
        <f t="shared" si="81"/>
        <v>1606.2154341078481</v>
      </c>
      <c r="O319" s="11">
        <f t="shared" si="82"/>
        <v>89427.508892081169</v>
      </c>
      <c r="P319" s="11">
        <f t="shared" si="83"/>
        <v>835068.81004330597</v>
      </c>
      <c r="Q319" s="11">
        <f t="shared" si="84"/>
        <v>745641.30115122476</v>
      </c>
      <c r="R319" s="11">
        <f t="shared" si="85"/>
        <v>-1037.5729964788068</v>
      </c>
      <c r="S319" s="11">
        <f t="shared" si="86"/>
        <v>-1341.0187442327701</v>
      </c>
      <c r="T319" s="11">
        <f t="shared" si="74"/>
        <v>1094.5986183935388</v>
      </c>
    </row>
    <row r="320" spans="1:20">
      <c r="A320">
        <v>310</v>
      </c>
      <c r="B320" s="12">
        <f t="shared" si="72"/>
        <v>3819.3223637236229</v>
      </c>
      <c r="C320" s="12">
        <f t="shared" si="87"/>
        <v>596.1833926138745</v>
      </c>
      <c r="D320" s="12">
        <f t="shared" si="88"/>
        <v>3223.1389711097481</v>
      </c>
      <c r="E320" s="12">
        <f t="shared" si="89"/>
        <v>175631.87881305258</v>
      </c>
      <c r="F320" s="12">
        <f t="shared" si="75"/>
        <v>1672921.1827867564</v>
      </c>
      <c r="G320" s="12">
        <f t="shared" si="76"/>
        <v>1497289.3039737039</v>
      </c>
      <c r="H320" s="12">
        <f t="shared" si="77"/>
        <v>-772.05312585608704</v>
      </c>
      <c r="I320" s="12">
        <f t="shared" si="78"/>
        <v>-1368.2365184699615</v>
      </c>
      <c r="J320" s="12">
        <f t="shared" si="73"/>
        <v>1559.3755514068616</v>
      </c>
      <c r="K320" s="12"/>
      <c r="L320" s="11">
        <f t="shared" si="79"/>
        <v>1909.6611818618114</v>
      </c>
      <c r="M320" s="11">
        <f t="shared" si="80"/>
        <v>298.09169630693725</v>
      </c>
      <c r="N320" s="11">
        <f t="shared" si="81"/>
        <v>1611.5694855548741</v>
      </c>
      <c r="O320" s="11">
        <f t="shared" si="82"/>
        <v>87815.93940652629</v>
      </c>
      <c r="P320" s="11">
        <f t="shared" si="83"/>
        <v>836460.59139337821</v>
      </c>
      <c r="Q320" s="11">
        <f t="shared" si="84"/>
        <v>748644.65198685194</v>
      </c>
      <c r="R320" s="11">
        <f t="shared" si="85"/>
        <v>-1039.3022848062715</v>
      </c>
      <c r="S320" s="11">
        <f t="shared" si="86"/>
        <v>-1337.3939811132086</v>
      </c>
      <c r="T320" s="11">
        <f t="shared" si="74"/>
        <v>1102.2827437841443</v>
      </c>
    </row>
    <row r="321" spans="1:20">
      <c r="A321">
        <v>311</v>
      </c>
      <c r="B321" s="12">
        <f t="shared" si="72"/>
        <v>3819.3223637236229</v>
      </c>
      <c r="C321" s="12">
        <f t="shared" si="87"/>
        <v>585.43959604350857</v>
      </c>
      <c r="D321" s="12">
        <f t="shared" si="88"/>
        <v>3233.8827676801143</v>
      </c>
      <c r="E321" s="12">
        <f t="shared" si="89"/>
        <v>172397.99604537248</v>
      </c>
      <c r="F321" s="12">
        <f t="shared" si="75"/>
        <v>1675709.3847580678</v>
      </c>
      <c r="G321" s="12">
        <f t="shared" si="76"/>
        <v>1503311.3887126953</v>
      </c>
      <c r="H321" s="12">
        <f t="shared" si="77"/>
        <v>-773.33988106584718</v>
      </c>
      <c r="I321" s="12">
        <f t="shared" si="78"/>
        <v>-1358.7794771093559</v>
      </c>
      <c r="J321" s="12">
        <f t="shared" si="73"/>
        <v>1573.7119462172623</v>
      </c>
      <c r="K321" s="12"/>
      <c r="L321" s="11">
        <f t="shared" si="79"/>
        <v>1909.6611818618114</v>
      </c>
      <c r="M321" s="11">
        <f t="shared" si="80"/>
        <v>292.71979802175429</v>
      </c>
      <c r="N321" s="11">
        <f t="shared" si="81"/>
        <v>1616.9413838400571</v>
      </c>
      <c r="O321" s="11">
        <f t="shared" si="82"/>
        <v>86198.998022686239</v>
      </c>
      <c r="P321" s="11">
        <f t="shared" si="83"/>
        <v>837854.69237903389</v>
      </c>
      <c r="Q321" s="11">
        <f t="shared" si="84"/>
        <v>751655.69435634767</v>
      </c>
      <c r="R321" s="11">
        <f t="shared" si="85"/>
        <v>-1041.0344552809486</v>
      </c>
      <c r="S321" s="11">
        <f t="shared" si="86"/>
        <v>-1333.7542533027029</v>
      </c>
      <c r="T321" s="11">
        <f t="shared" si="74"/>
        <v>1109.9885994694794</v>
      </c>
    </row>
    <row r="322" spans="1:20">
      <c r="A322">
        <v>312</v>
      </c>
      <c r="B322" s="12">
        <f t="shared" si="72"/>
        <v>3819.3223637236229</v>
      </c>
      <c r="C322" s="12">
        <f t="shared" si="87"/>
        <v>574.65998681790825</v>
      </c>
      <c r="D322" s="12">
        <f t="shared" si="88"/>
        <v>3244.6623769057146</v>
      </c>
      <c r="E322" s="12">
        <f t="shared" si="89"/>
        <v>169153.33366846677</v>
      </c>
      <c r="F322" s="12">
        <f t="shared" si="75"/>
        <v>1678502.2337326647</v>
      </c>
      <c r="G322" s="12">
        <f t="shared" si="76"/>
        <v>1509348.9000641978</v>
      </c>
      <c r="H322" s="12">
        <f t="shared" si="77"/>
        <v>-774.62878086762362</v>
      </c>
      <c r="I322" s="12">
        <f t="shared" si="78"/>
        <v>-1349.2887676855319</v>
      </c>
      <c r="J322" s="12">
        <f t="shared" si="73"/>
        <v>1588.0901413466311</v>
      </c>
      <c r="K322" s="12"/>
      <c r="L322" s="11">
        <f t="shared" si="79"/>
        <v>1909.6611818618114</v>
      </c>
      <c r="M322" s="11">
        <f t="shared" si="80"/>
        <v>287.32999340895412</v>
      </c>
      <c r="N322" s="11">
        <f t="shared" si="81"/>
        <v>1622.3311884528573</v>
      </c>
      <c r="O322" s="11">
        <f t="shared" si="82"/>
        <v>84576.666834233387</v>
      </c>
      <c r="P322" s="11">
        <f t="shared" si="83"/>
        <v>839251.11686633236</v>
      </c>
      <c r="Q322" s="11">
        <f t="shared" si="84"/>
        <v>754674.45003209892</v>
      </c>
      <c r="R322" s="11">
        <f t="shared" si="85"/>
        <v>-1042.7695127064169</v>
      </c>
      <c r="S322" s="11">
        <f t="shared" si="86"/>
        <v>-1330.099506115371</v>
      </c>
      <c r="T322" s="11">
        <f t="shared" si="74"/>
        <v>1117.7162514114318</v>
      </c>
    </row>
    <row r="323" spans="1:20">
      <c r="A323">
        <v>313</v>
      </c>
      <c r="B323" s="12">
        <f t="shared" si="72"/>
        <v>3819.3223637236229</v>
      </c>
      <c r="C323" s="12">
        <f t="shared" si="87"/>
        <v>563.84444556155597</v>
      </c>
      <c r="D323" s="12">
        <f t="shared" si="88"/>
        <v>3255.477918162067</v>
      </c>
      <c r="E323" s="12">
        <f t="shared" si="89"/>
        <v>165897.8557503047</v>
      </c>
      <c r="F323" s="12">
        <f t="shared" si="75"/>
        <v>1681299.7374555527</v>
      </c>
      <c r="G323" s="12">
        <f t="shared" si="76"/>
        <v>1515401.881705248</v>
      </c>
      <c r="H323" s="12">
        <f t="shared" si="77"/>
        <v>-775.91982883573633</v>
      </c>
      <c r="I323" s="12">
        <f t="shared" si="78"/>
        <v>-1339.7642743972924</v>
      </c>
      <c r="J323" s="12">
        <f t="shared" si="73"/>
        <v>1602.5102661499245</v>
      </c>
      <c r="K323" s="12"/>
      <c r="L323" s="11">
        <f t="shared" si="79"/>
        <v>1909.6611818618114</v>
      </c>
      <c r="M323" s="11">
        <f t="shared" si="80"/>
        <v>281.92222278077799</v>
      </c>
      <c r="N323" s="11">
        <f t="shared" si="81"/>
        <v>1627.7389590810335</v>
      </c>
      <c r="O323" s="11">
        <f t="shared" si="82"/>
        <v>82948.927875152352</v>
      </c>
      <c r="P323" s="11">
        <f t="shared" si="83"/>
        <v>840649.86872777634</v>
      </c>
      <c r="Q323" s="11">
        <f t="shared" si="84"/>
        <v>757700.94085262401</v>
      </c>
      <c r="R323" s="11">
        <f t="shared" si="85"/>
        <v>-1044.507461894261</v>
      </c>
      <c r="S323" s="11">
        <f t="shared" si="86"/>
        <v>-1326.429684675039</v>
      </c>
      <c r="T323" s="11">
        <f t="shared" si="74"/>
        <v>1125.4657657809753</v>
      </c>
    </row>
    <row r="324" spans="1:20">
      <c r="A324">
        <v>314</v>
      </c>
      <c r="B324" s="12">
        <f t="shared" si="72"/>
        <v>3819.3223637236229</v>
      </c>
      <c r="C324" s="12">
        <f t="shared" si="87"/>
        <v>552.9928525010157</v>
      </c>
      <c r="D324" s="12">
        <f t="shared" si="88"/>
        <v>3266.3295112226069</v>
      </c>
      <c r="E324" s="12">
        <f t="shared" si="89"/>
        <v>162631.5262390821</v>
      </c>
      <c r="F324" s="12">
        <f t="shared" si="75"/>
        <v>1684101.9036846454</v>
      </c>
      <c r="G324" s="12">
        <f t="shared" si="76"/>
        <v>1521470.3774455632</v>
      </c>
      <c r="H324" s="12">
        <f t="shared" si="77"/>
        <v>-777.21302855046258</v>
      </c>
      <c r="I324" s="12">
        <f t="shared" si="78"/>
        <v>-1330.2058810514782</v>
      </c>
      <c r="J324" s="12">
        <f t="shared" si="73"/>
        <v>1616.9724503966509</v>
      </c>
      <c r="K324" s="12"/>
      <c r="L324" s="11">
        <f t="shared" si="79"/>
        <v>1909.6611818618114</v>
      </c>
      <c r="M324" s="11">
        <f t="shared" si="80"/>
        <v>276.49642625050785</v>
      </c>
      <c r="N324" s="11">
        <f t="shared" si="81"/>
        <v>1633.1647556113035</v>
      </c>
      <c r="O324" s="11">
        <f t="shared" si="82"/>
        <v>81315.76311954105</v>
      </c>
      <c r="P324" s="11">
        <f t="shared" si="83"/>
        <v>842050.95184232271</v>
      </c>
      <c r="Q324" s="11">
        <f t="shared" si="84"/>
        <v>760735.1887227816</v>
      </c>
      <c r="R324" s="11">
        <f t="shared" si="85"/>
        <v>-1046.2483076640849</v>
      </c>
      <c r="S324" s="11">
        <f t="shared" si="86"/>
        <v>-1322.7447339145929</v>
      </c>
      <c r="T324" s="11">
        <f t="shared" si="74"/>
        <v>1133.2372089588484</v>
      </c>
    </row>
    <row r="325" spans="1:20">
      <c r="A325">
        <v>315</v>
      </c>
      <c r="B325" s="12">
        <f t="shared" si="72"/>
        <v>3819.3223637236229</v>
      </c>
      <c r="C325" s="12">
        <f t="shared" si="87"/>
        <v>542.10508746360699</v>
      </c>
      <c r="D325" s="12">
        <f t="shared" si="88"/>
        <v>3277.2172762600158</v>
      </c>
      <c r="E325" s="12">
        <f t="shared" si="89"/>
        <v>159354.30896282208</v>
      </c>
      <c r="F325" s="12">
        <f t="shared" si="75"/>
        <v>1686908.7401907865</v>
      </c>
      <c r="G325" s="12">
        <f t="shared" si="76"/>
        <v>1527554.4312279643</v>
      </c>
      <c r="H325" s="12">
        <f t="shared" si="77"/>
        <v>-778.50838359804675</v>
      </c>
      <c r="I325" s="12">
        <f t="shared" si="78"/>
        <v>-1320.6134710616539</v>
      </c>
      <c r="J325" s="12">
        <f t="shared" si="73"/>
        <v>1631.4768242722225</v>
      </c>
      <c r="K325" s="12"/>
      <c r="L325" s="11">
        <f t="shared" si="79"/>
        <v>1909.6611818618114</v>
      </c>
      <c r="M325" s="11">
        <f t="shared" si="80"/>
        <v>271.0525437318035</v>
      </c>
      <c r="N325" s="11">
        <f t="shared" si="81"/>
        <v>1638.6086381300079</v>
      </c>
      <c r="O325" s="11">
        <f t="shared" si="82"/>
        <v>79677.154481411038</v>
      </c>
      <c r="P325" s="11">
        <f t="shared" si="83"/>
        <v>843454.37009539327</v>
      </c>
      <c r="Q325" s="11">
        <f t="shared" si="84"/>
        <v>763777.21561398217</v>
      </c>
      <c r="R325" s="11">
        <f t="shared" si="85"/>
        <v>-1047.992054843525</v>
      </c>
      <c r="S325" s="11">
        <f t="shared" si="86"/>
        <v>-1319.0445985753286</v>
      </c>
      <c r="T325" s="11">
        <f t="shared" si="74"/>
        <v>1141.0306475362354</v>
      </c>
    </row>
    <row r="326" spans="1:20">
      <c r="A326">
        <v>316</v>
      </c>
      <c r="B326" s="12">
        <f t="shared" si="72"/>
        <v>3819.3223637236229</v>
      </c>
      <c r="C326" s="12">
        <f t="shared" si="87"/>
        <v>531.18102987607358</v>
      </c>
      <c r="D326" s="12">
        <f t="shared" si="88"/>
        <v>3288.1413338475495</v>
      </c>
      <c r="E326" s="12">
        <f t="shared" si="89"/>
        <v>156066.16762897454</v>
      </c>
      <c r="F326" s="12">
        <f t="shared" si="75"/>
        <v>1689720.2547577713</v>
      </c>
      <c r="G326" s="12">
        <f t="shared" si="76"/>
        <v>1533654.0871287966</v>
      </c>
      <c r="H326" s="12">
        <f t="shared" si="77"/>
        <v>-779.80589757071016</v>
      </c>
      <c r="I326" s="12">
        <f t="shared" si="78"/>
        <v>-1310.9869274467837</v>
      </c>
      <c r="J326" s="12">
        <f t="shared" si="73"/>
        <v>1646.0235183793156</v>
      </c>
      <c r="K326" s="12"/>
      <c r="L326" s="11">
        <f t="shared" si="79"/>
        <v>1909.6611818618114</v>
      </c>
      <c r="M326" s="11">
        <f t="shared" si="80"/>
        <v>265.59051493803679</v>
      </c>
      <c r="N326" s="11">
        <f t="shared" si="81"/>
        <v>1644.0706669237748</v>
      </c>
      <c r="O326" s="11">
        <f t="shared" si="82"/>
        <v>78033.083814487269</v>
      </c>
      <c r="P326" s="11">
        <f t="shared" si="83"/>
        <v>844860.12737888563</v>
      </c>
      <c r="Q326" s="11">
        <f t="shared" si="84"/>
        <v>766827.04356439831</v>
      </c>
      <c r="R326" s="11">
        <f t="shared" si="85"/>
        <v>-1049.7387082682642</v>
      </c>
      <c r="S326" s="11">
        <f t="shared" si="86"/>
        <v>-1315.3292232063009</v>
      </c>
      <c r="T326" s="11">
        <f t="shared" si="74"/>
        <v>1148.8461483154488</v>
      </c>
    </row>
    <row r="327" spans="1:20">
      <c r="A327">
        <v>317</v>
      </c>
      <c r="B327" s="12">
        <f t="shared" si="72"/>
        <v>3819.3223637236229</v>
      </c>
      <c r="C327" s="12">
        <f t="shared" si="87"/>
        <v>520.2205587632485</v>
      </c>
      <c r="D327" s="12">
        <f t="shared" si="88"/>
        <v>3299.1018049603745</v>
      </c>
      <c r="E327" s="12">
        <f t="shared" si="89"/>
        <v>152767.06582401416</v>
      </c>
      <c r="F327" s="12">
        <f t="shared" si="75"/>
        <v>1692536.4551823677</v>
      </c>
      <c r="G327" s="12">
        <f t="shared" si="76"/>
        <v>1539769.3893583536</v>
      </c>
      <c r="H327" s="12">
        <f t="shared" si="77"/>
        <v>-781.10557406666135</v>
      </c>
      <c r="I327" s="12">
        <f t="shared" si="78"/>
        <v>-1301.32613282991</v>
      </c>
      <c r="J327" s="12">
        <f t="shared" si="73"/>
        <v>1660.6126637392335</v>
      </c>
      <c r="K327" s="12"/>
      <c r="L327" s="11">
        <f t="shared" si="79"/>
        <v>1909.6611818618114</v>
      </c>
      <c r="M327" s="11">
        <f t="shared" si="80"/>
        <v>260.11027938162425</v>
      </c>
      <c r="N327" s="11">
        <f t="shared" si="81"/>
        <v>1649.5509024801872</v>
      </c>
      <c r="O327" s="11">
        <f t="shared" si="82"/>
        <v>76383.532912007082</v>
      </c>
      <c r="P327" s="11">
        <f t="shared" si="83"/>
        <v>846268.22759118385</v>
      </c>
      <c r="Q327" s="11">
        <f t="shared" si="84"/>
        <v>769884.69467917678</v>
      </c>
      <c r="R327" s="11">
        <f t="shared" si="85"/>
        <v>-1051.4882727820448</v>
      </c>
      <c r="S327" s="11">
        <f t="shared" si="86"/>
        <v>-1311.598552163669</v>
      </c>
      <c r="T327" s="11">
        <f t="shared" si="74"/>
        <v>1156.6837783106175</v>
      </c>
    </row>
    <row r="328" spans="1:20">
      <c r="A328">
        <v>318</v>
      </c>
      <c r="B328" s="12">
        <f t="shared" si="72"/>
        <v>3819.3223637236229</v>
      </c>
      <c r="C328" s="12">
        <f t="shared" si="87"/>
        <v>509.22355274671389</v>
      </c>
      <c r="D328" s="12">
        <f t="shared" si="88"/>
        <v>3310.0988109769091</v>
      </c>
      <c r="E328" s="12">
        <f t="shared" si="89"/>
        <v>149456.96701303727</v>
      </c>
      <c r="F328" s="12">
        <f t="shared" si="75"/>
        <v>1695357.3492743385</v>
      </c>
      <c r="G328" s="12">
        <f t="shared" si="76"/>
        <v>1545900.3822613012</v>
      </c>
      <c r="H328" s="12">
        <f t="shared" si="77"/>
        <v>-782.40741669010583</v>
      </c>
      <c r="I328" s="12">
        <f t="shared" si="78"/>
        <v>-1291.6309694368197</v>
      </c>
      <c r="J328" s="12">
        <f t="shared" si="73"/>
        <v>1675.2443917932724</v>
      </c>
      <c r="K328" s="12"/>
      <c r="L328" s="11">
        <f t="shared" si="79"/>
        <v>1909.6611818618114</v>
      </c>
      <c r="M328" s="11">
        <f t="shared" si="80"/>
        <v>254.61177637335695</v>
      </c>
      <c r="N328" s="11">
        <f t="shared" si="81"/>
        <v>1655.0494054884546</v>
      </c>
      <c r="O328" s="11">
        <f t="shared" si="82"/>
        <v>74728.483506518634</v>
      </c>
      <c r="P328" s="11">
        <f t="shared" si="83"/>
        <v>847678.67463716923</v>
      </c>
      <c r="Q328" s="11">
        <f t="shared" si="84"/>
        <v>772950.19113065058</v>
      </c>
      <c r="R328" s="11">
        <f t="shared" si="85"/>
        <v>-1053.2407532366815</v>
      </c>
      <c r="S328" s="11">
        <f t="shared" si="86"/>
        <v>-1307.8525296100383</v>
      </c>
      <c r="T328" s="11">
        <f t="shared" si="74"/>
        <v>1164.5436047483722</v>
      </c>
    </row>
    <row r="329" spans="1:20">
      <c r="A329">
        <v>319</v>
      </c>
      <c r="B329" s="12">
        <f t="shared" si="72"/>
        <v>3819.3223637236229</v>
      </c>
      <c r="C329" s="12">
        <f t="shared" si="87"/>
        <v>498.18989004345758</v>
      </c>
      <c r="D329" s="12">
        <f t="shared" si="88"/>
        <v>3321.1324736801653</v>
      </c>
      <c r="E329" s="12">
        <f t="shared" si="89"/>
        <v>146135.83453935711</v>
      </c>
      <c r="F329" s="12">
        <f t="shared" si="75"/>
        <v>1698182.9448564625</v>
      </c>
      <c r="G329" s="12">
        <f t="shared" si="76"/>
        <v>1552047.1103171054</v>
      </c>
      <c r="H329" s="12">
        <f t="shared" si="77"/>
        <v>-783.711429051256</v>
      </c>
      <c r="I329" s="12">
        <f t="shared" si="78"/>
        <v>-1281.9013190947135</v>
      </c>
      <c r="J329" s="12">
        <f t="shared" si="73"/>
        <v>1689.9188344040958</v>
      </c>
      <c r="K329" s="12"/>
      <c r="L329" s="11">
        <f t="shared" si="79"/>
        <v>1909.6611818618114</v>
      </c>
      <c r="M329" s="11">
        <f t="shared" si="80"/>
        <v>249.09494502172879</v>
      </c>
      <c r="N329" s="11">
        <f t="shared" si="81"/>
        <v>1660.5662368400826</v>
      </c>
      <c r="O329" s="11">
        <f t="shared" si="82"/>
        <v>73067.917269678554</v>
      </c>
      <c r="P329" s="11">
        <f t="shared" si="83"/>
        <v>849091.47242823127</v>
      </c>
      <c r="Q329" s="11">
        <f t="shared" si="84"/>
        <v>776023.55515855271</v>
      </c>
      <c r="R329" s="11">
        <f t="shared" si="85"/>
        <v>-1054.9961544920759</v>
      </c>
      <c r="S329" s="11">
        <f t="shared" si="86"/>
        <v>-1304.0910995138047</v>
      </c>
      <c r="T329" s="11">
        <f t="shared" si="74"/>
        <v>1172.4256950685367</v>
      </c>
    </row>
    <row r="330" spans="1:20">
      <c r="A330">
        <v>320</v>
      </c>
      <c r="B330" s="12">
        <f t="shared" si="72"/>
        <v>3819.3223637236229</v>
      </c>
      <c r="C330" s="12">
        <f t="shared" si="87"/>
        <v>487.11944846452371</v>
      </c>
      <c r="D330" s="12">
        <f t="shared" si="88"/>
        <v>3332.202915259099</v>
      </c>
      <c r="E330" s="12">
        <f t="shared" si="89"/>
        <v>142803.63162409799</v>
      </c>
      <c r="F330" s="12">
        <f t="shared" si="75"/>
        <v>1701013.2497645568</v>
      </c>
      <c r="G330" s="12">
        <f t="shared" si="76"/>
        <v>1558209.6181404588</v>
      </c>
      <c r="H330" s="12">
        <f t="shared" si="77"/>
        <v>-785.01761476634147</v>
      </c>
      <c r="I330" s="12">
        <f t="shared" si="78"/>
        <v>-1272.1370632308651</v>
      </c>
      <c r="J330" s="12">
        <f t="shared" si="73"/>
        <v>1704.6361238571092</v>
      </c>
      <c r="K330" s="12"/>
      <c r="L330" s="11">
        <f t="shared" si="79"/>
        <v>1909.6611818618114</v>
      </c>
      <c r="M330" s="11">
        <f t="shared" si="80"/>
        <v>243.55972423226186</v>
      </c>
      <c r="N330" s="11">
        <f t="shared" si="81"/>
        <v>1666.1014576295495</v>
      </c>
      <c r="O330" s="11">
        <f t="shared" si="82"/>
        <v>71401.815812048997</v>
      </c>
      <c r="P330" s="11">
        <f t="shared" si="83"/>
        <v>850506.62488227838</v>
      </c>
      <c r="Q330" s="11">
        <f t="shared" si="84"/>
        <v>779104.80907022941</v>
      </c>
      <c r="R330" s="11">
        <f t="shared" si="85"/>
        <v>-1056.7544814162295</v>
      </c>
      <c r="S330" s="11">
        <f t="shared" si="86"/>
        <v>-1300.3142056484915</v>
      </c>
      <c r="T330" s="11">
        <f t="shared" si="74"/>
        <v>1180.3301169248205</v>
      </c>
    </row>
    <row r="331" spans="1:20">
      <c r="A331">
        <v>321</v>
      </c>
      <c r="B331" s="12">
        <f t="shared" si="72"/>
        <v>3819.3223637236229</v>
      </c>
      <c r="C331" s="12">
        <f t="shared" si="87"/>
        <v>476.01210541365998</v>
      </c>
      <c r="D331" s="12">
        <f t="shared" si="88"/>
        <v>3343.310258309963</v>
      </c>
      <c r="E331" s="12">
        <f t="shared" si="89"/>
        <v>139460.32136578803</v>
      </c>
      <c r="F331" s="12">
        <f t="shared" si="75"/>
        <v>1703848.2718474977</v>
      </c>
      <c r="G331" s="12">
        <f t="shared" si="76"/>
        <v>1564387.9504817096</v>
      </c>
      <c r="H331" s="12">
        <f t="shared" si="77"/>
        <v>-786.32597745761871</v>
      </c>
      <c r="I331" s="12">
        <f t="shared" si="78"/>
        <v>-1262.3380828712786</v>
      </c>
      <c r="J331" s="12">
        <f t="shared" si="73"/>
        <v>1719.3963928618421</v>
      </c>
      <c r="K331" s="12"/>
      <c r="L331" s="11">
        <f t="shared" si="79"/>
        <v>1909.6611818618114</v>
      </c>
      <c r="M331" s="11">
        <f t="shared" si="80"/>
        <v>238.00605270682999</v>
      </c>
      <c r="N331" s="11">
        <f t="shared" si="81"/>
        <v>1671.6551291549815</v>
      </c>
      <c r="O331" s="11">
        <f t="shared" si="82"/>
        <v>69730.160682894013</v>
      </c>
      <c r="P331" s="11">
        <f t="shared" si="83"/>
        <v>851924.13592374884</v>
      </c>
      <c r="Q331" s="11">
        <f t="shared" si="84"/>
        <v>782193.97524085478</v>
      </c>
      <c r="R331" s="11">
        <f t="shared" si="85"/>
        <v>-1058.5157388852565</v>
      </c>
      <c r="S331" s="11">
        <f t="shared" si="86"/>
        <v>-1296.5217915920864</v>
      </c>
      <c r="T331" s="11">
        <f t="shared" si="74"/>
        <v>1188.2569381855139</v>
      </c>
    </row>
    <row r="332" spans="1:20">
      <c r="A332">
        <v>322</v>
      </c>
      <c r="B332" s="12">
        <f t="shared" ref="B332:B370" si="90">$C$5*($A$2/12*(1+$A$2/12)^(12*30))/((1+$A$2/12)^(30*12)-1)</f>
        <v>3819.3223637236229</v>
      </c>
      <c r="C332" s="12">
        <f t="shared" si="87"/>
        <v>464.86773788596014</v>
      </c>
      <c r="D332" s="12">
        <f t="shared" si="88"/>
        <v>3354.4546258376627</v>
      </c>
      <c r="E332" s="12">
        <f t="shared" si="89"/>
        <v>136105.86673995038</v>
      </c>
      <c r="F332" s="12">
        <f t="shared" si="75"/>
        <v>1706688.0189672436</v>
      </c>
      <c r="G332" s="12">
        <f t="shared" si="76"/>
        <v>1570582.1522272932</v>
      </c>
      <c r="H332" s="12">
        <f t="shared" si="77"/>
        <v>-787.63652075338143</v>
      </c>
      <c r="I332" s="12">
        <f t="shared" si="78"/>
        <v>-1252.5042586393415</v>
      </c>
      <c r="J332" s="12">
        <f t="shared" ref="J332:J370" si="91">F332*$H$5/12*(1-$C$2)+I332</f>
        <v>1734.1997745533345</v>
      </c>
      <c r="K332" s="12"/>
      <c r="L332" s="11">
        <f t="shared" si="79"/>
        <v>1909.6611818618114</v>
      </c>
      <c r="M332" s="11">
        <f t="shared" si="80"/>
        <v>232.43386894298007</v>
      </c>
      <c r="N332" s="11">
        <f t="shared" si="81"/>
        <v>1677.2273129188313</v>
      </c>
      <c r="O332" s="11">
        <f t="shared" si="82"/>
        <v>68052.933369975188</v>
      </c>
      <c r="P332" s="11">
        <f t="shared" si="83"/>
        <v>853344.0094836218</v>
      </c>
      <c r="Q332" s="11">
        <f t="shared" si="84"/>
        <v>785291.07611364662</v>
      </c>
      <c r="R332" s="11">
        <f t="shared" si="85"/>
        <v>-1060.2799317833985</v>
      </c>
      <c r="S332" s="11">
        <f t="shared" si="86"/>
        <v>-1292.7138007263786</v>
      </c>
      <c r="T332" s="11">
        <f t="shared" ref="T332:T370" si="92">P332*$H$6/12*(1-$C$2)+S332</f>
        <v>1196.2062269341852</v>
      </c>
    </row>
    <row r="333" spans="1:20">
      <c r="A333">
        <v>323</v>
      </c>
      <c r="B333" s="12">
        <f t="shared" si="90"/>
        <v>3819.3223637236229</v>
      </c>
      <c r="C333" s="12">
        <f t="shared" si="87"/>
        <v>453.68622246650125</v>
      </c>
      <c r="D333" s="12">
        <f t="shared" si="88"/>
        <v>3365.6361412571214</v>
      </c>
      <c r="E333" s="12">
        <f t="shared" si="89"/>
        <v>132740.23059869325</v>
      </c>
      <c r="F333" s="12">
        <f t="shared" ref="F333:F370" si="93">F332*(1+$D$5/12)</f>
        <v>1709532.4989988557</v>
      </c>
      <c r="G333" s="12">
        <f t="shared" ref="G333:G370" si="94">F333-E333</f>
        <v>1576792.2684001625</v>
      </c>
      <c r="H333" s="12">
        <f t="shared" ref="H333:H370" si="95">H332*(1+$D$2/12)</f>
        <v>-788.94924828797048</v>
      </c>
      <c r="I333" s="12">
        <f t="shared" ref="I333:I370" si="96">0-C333+H333</f>
        <v>-1242.6354707544717</v>
      </c>
      <c r="J333" s="12">
        <f t="shared" si="91"/>
        <v>1749.0464024935252</v>
      </c>
      <c r="K333" s="12"/>
      <c r="L333" s="11">
        <f t="shared" ref="L333:L370" si="97">$C$6*($A$2/12*(1+$A$2/12)^(12*30))/((1+$A$2/12)^(30*12)-1)</f>
        <v>1909.6611818618114</v>
      </c>
      <c r="M333" s="11">
        <f t="shared" ref="M333:M370" si="98">O332*$A$2/12</f>
        <v>226.84311123325062</v>
      </c>
      <c r="N333" s="11">
        <f t="shared" ref="N333:N370" si="99">L333-M333</f>
        <v>1682.8180706285607</v>
      </c>
      <c r="O333" s="11">
        <f t="shared" ref="O333:O370" si="100">O332-N333</f>
        <v>66370.115299346624</v>
      </c>
      <c r="P333" s="11">
        <f t="shared" ref="P333:P370" si="101">P332*(1+$D$6/12)</f>
        <v>854766.24949942785</v>
      </c>
      <c r="Q333" s="11">
        <f t="shared" ref="Q333:Q370" si="102">P333-O333</f>
        <v>788396.13420008123</v>
      </c>
      <c r="R333" s="11">
        <f t="shared" ref="R333:R370" si="103">R332*(1+$D$2/12)</f>
        <v>-1062.0470650030375</v>
      </c>
      <c r="S333" s="11">
        <f t="shared" ref="S333:S370" si="104">0-M333+R333</f>
        <v>-1288.890176236288</v>
      </c>
      <c r="T333" s="11">
        <f t="shared" si="92"/>
        <v>1204.1780514703764</v>
      </c>
    </row>
    <row r="334" spans="1:20">
      <c r="A334">
        <v>324</v>
      </c>
      <c r="B334" s="12">
        <f t="shared" si="90"/>
        <v>3819.3223637236229</v>
      </c>
      <c r="C334" s="12">
        <f t="shared" ref="C334:C370" si="105">E333*$A$2/12</f>
        <v>442.4674353289775</v>
      </c>
      <c r="D334" s="12">
        <f t="shared" ref="D334:D370" si="106">B334-C334</f>
        <v>3376.8549283946454</v>
      </c>
      <c r="E334" s="12">
        <f t="shared" ref="E334:E370" si="107">E333-D334</f>
        <v>129363.3756702986</v>
      </c>
      <c r="F334" s="12">
        <f t="shared" si="93"/>
        <v>1712381.7198305205</v>
      </c>
      <c r="G334" s="12">
        <f t="shared" si="94"/>
        <v>1583018.3441602217</v>
      </c>
      <c r="H334" s="12">
        <f t="shared" si="95"/>
        <v>-790.26416370178379</v>
      </c>
      <c r="I334" s="12">
        <f t="shared" si="96"/>
        <v>-1232.7315990307613</v>
      </c>
      <c r="J334" s="12">
        <f t="shared" si="91"/>
        <v>1763.9364106726496</v>
      </c>
      <c r="K334" s="12"/>
      <c r="L334" s="11">
        <f t="shared" si="97"/>
        <v>1909.6611818618114</v>
      </c>
      <c r="M334" s="11">
        <f t="shared" si="98"/>
        <v>221.23371766448875</v>
      </c>
      <c r="N334" s="11">
        <f t="shared" si="99"/>
        <v>1688.4274641973227</v>
      </c>
      <c r="O334" s="11">
        <f t="shared" si="100"/>
        <v>64681.6878351493</v>
      </c>
      <c r="P334" s="11">
        <f t="shared" si="101"/>
        <v>856190.85991526023</v>
      </c>
      <c r="Q334" s="11">
        <f t="shared" si="102"/>
        <v>791509.17208011087</v>
      </c>
      <c r="R334" s="11">
        <f t="shared" si="103"/>
        <v>-1063.8171434447092</v>
      </c>
      <c r="S334" s="11">
        <f t="shared" si="104"/>
        <v>-1285.050861109198</v>
      </c>
      <c r="T334" s="11">
        <f t="shared" si="92"/>
        <v>1212.1724803103109</v>
      </c>
    </row>
    <row r="335" spans="1:20">
      <c r="A335">
        <v>325</v>
      </c>
      <c r="B335" s="12">
        <f t="shared" si="90"/>
        <v>3819.3223637236229</v>
      </c>
      <c r="C335" s="12">
        <f t="shared" si="105"/>
        <v>431.21125223432864</v>
      </c>
      <c r="D335" s="12">
        <f t="shared" si="106"/>
        <v>3388.1111114892942</v>
      </c>
      <c r="E335" s="12">
        <f t="shared" si="107"/>
        <v>125975.2645588093</v>
      </c>
      <c r="F335" s="12">
        <f t="shared" si="93"/>
        <v>1715235.6893635713</v>
      </c>
      <c r="G335" s="12">
        <f t="shared" si="94"/>
        <v>1589260.424804762</v>
      </c>
      <c r="H335" s="12">
        <f t="shared" si="95"/>
        <v>-791.58127064128678</v>
      </c>
      <c r="I335" s="12">
        <f t="shared" si="96"/>
        <v>-1222.7925228756153</v>
      </c>
      <c r="J335" s="12">
        <f t="shared" si="91"/>
        <v>1778.8699335106348</v>
      </c>
      <c r="K335" s="12"/>
      <c r="L335" s="11">
        <f t="shared" si="97"/>
        <v>1909.6611818618114</v>
      </c>
      <c r="M335" s="11">
        <f t="shared" si="98"/>
        <v>215.60562611716432</v>
      </c>
      <c r="N335" s="11">
        <f t="shared" si="99"/>
        <v>1694.0555557446471</v>
      </c>
      <c r="O335" s="11">
        <f t="shared" si="100"/>
        <v>62987.63227940465</v>
      </c>
      <c r="P335" s="11">
        <f t="shared" si="101"/>
        <v>857617.84468178567</v>
      </c>
      <c r="Q335" s="11">
        <f t="shared" si="102"/>
        <v>794630.212402381</v>
      </c>
      <c r="R335" s="11">
        <f t="shared" si="103"/>
        <v>-1065.5901720171171</v>
      </c>
      <c r="S335" s="11">
        <f t="shared" si="104"/>
        <v>-1281.1957981342814</v>
      </c>
      <c r="T335" s="11">
        <f t="shared" si="92"/>
        <v>1220.1895821875935</v>
      </c>
    </row>
    <row r="336" spans="1:20">
      <c r="A336">
        <v>326</v>
      </c>
      <c r="B336" s="12">
        <f t="shared" si="90"/>
        <v>3819.3223637236229</v>
      </c>
      <c r="C336" s="12">
        <f t="shared" si="105"/>
        <v>419.9175485293643</v>
      </c>
      <c r="D336" s="12">
        <f t="shared" si="106"/>
        <v>3399.4048151942584</v>
      </c>
      <c r="E336" s="12">
        <f t="shared" si="107"/>
        <v>122575.85974361504</v>
      </c>
      <c r="F336" s="12">
        <f t="shared" si="93"/>
        <v>1718094.4155125108</v>
      </c>
      <c r="G336" s="12">
        <f t="shared" si="94"/>
        <v>1595518.5557688957</v>
      </c>
      <c r="H336" s="12">
        <f t="shared" si="95"/>
        <v>-792.90057275902234</v>
      </c>
      <c r="I336" s="12">
        <f t="shared" si="96"/>
        <v>-1212.8181212883867</v>
      </c>
      <c r="J336" s="12">
        <f t="shared" si="91"/>
        <v>1793.8471058585071</v>
      </c>
      <c r="K336" s="12"/>
      <c r="L336" s="11">
        <f t="shared" si="97"/>
        <v>1909.6611818618114</v>
      </c>
      <c r="M336" s="11">
        <f t="shared" si="98"/>
        <v>209.95877426468215</v>
      </c>
      <c r="N336" s="11">
        <f t="shared" si="99"/>
        <v>1699.7024075971292</v>
      </c>
      <c r="O336" s="11">
        <f t="shared" si="100"/>
        <v>61287.929871807522</v>
      </c>
      <c r="P336" s="11">
        <f t="shared" si="101"/>
        <v>859047.2077562554</v>
      </c>
      <c r="Q336" s="11">
        <f t="shared" si="102"/>
        <v>797759.27788444783</v>
      </c>
      <c r="R336" s="11">
        <f t="shared" si="103"/>
        <v>-1067.3661556371458</v>
      </c>
      <c r="S336" s="11">
        <f t="shared" si="104"/>
        <v>-1277.324929901828</v>
      </c>
      <c r="T336" s="11">
        <f t="shared" si="92"/>
        <v>1228.229426053917</v>
      </c>
    </row>
    <row r="337" spans="1:20">
      <c r="A337">
        <v>327</v>
      </c>
      <c r="B337" s="12">
        <f t="shared" si="90"/>
        <v>3819.3223637236229</v>
      </c>
      <c r="C337" s="12">
        <f t="shared" si="105"/>
        <v>408.58619914538349</v>
      </c>
      <c r="D337" s="12">
        <f t="shared" si="106"/>
        <v>3410.7361645782394</v>
      </c>
      <c r="E337" s="12">
        <f t="shared" si="107"/>
        <v>119165.12357903681</v>
      </c>
      <c r="F337" s="12">
        <f t="shared" si="93"/>
        <v>1720957.9062050318</v>
      </c>
      <c r="G337" s="12">
        <f t="shared" si="94"/>
        <v>1601792.7826259949</v>
      </c>
      <c r="H337" s="12">
        <f t="shared" si="95"/>
        <v>-794.22207371362072</v>
      </c>
      <c r="I337" s="12">
        <f t="shared" si="96"/>
        <v>-1202.8082728590043</v>
      </c>
      <c r="J337" s="12">
        <f t="shared" si="91"/>
        <v>1808.8680629998012</v>
      </c>
      <c r="K337" s="12"/>
      <c r="L337" s="11">
        <f t="shared" si="97"/>
        <v>1909.6611818618114</v>
      </c>
      <c r="M337" s="11">
        <f t="shared" si="98"/>
        <v>204.29309957269174</v>
      </c>
      <c r="N337" s="11">
        <f t="shared" si="99"/>
        <v>1705.3680822891197</v>
      </c>
      <c r="O337" s="11">
        <f t="shared" si="100"/>
        <v>59582.561789518404</v>
      </c>
      <c r="P337" s="11">
        <f t="shared" si="101"/>
        <v>860478.95310251589</v>
      </c>
      <c r="Q337" s="11">
        <f t="shared" si="102"/>
        <v>800896.39131299744</v>
      </c>
      <c r="R337" s="11">
        <f t="shared" si="103"/>
        <v>-1069.1450992298744</v>
      </c>
      <c r="S337" s="11">
        <f t="shared" si="104"/>
        <v>-1273.4381988025661</v>
      </c>
      <c r="T337" s="11">
        <f t="shared" si="92"/>
        <v>1236.2920810797718</v>
      </c>
    </row>
    <row r="338" spans="1:20">
      <c r="A338">
        <v>328</v>
      </c>
      <c r="B338" s="12">
        <f t="shared" si="90"/>
        <v>3819.3223637236229</v>
      </c>
      <c r="C338" s="12">
        <f t="shared" si="105"/>
        <v>397.21707859678941</v>
      </c>
      <c r="D338" s="12">
        <f t="shared" si="106"/>
        <v>3422.1052851268332</v>
      </c>
      <c r="E338" s="12">
        <f t="shared" si="107"/>
        <v>115743.01829390998</v>
      </c>
      <c r="F338" s="12">
        <f t="shared" si="93"/>
        <v>1723826.1693820402</v>
      </c>
      <c r="G338" s="12">
        <f t="shared" si="94"/>
        <v>1608083.1510881302</v>
      </c>
      <c r="H338" s="12">
        <f t="shared" si="95"/>
        <v>-795.54577716981009</v>
      </c>
      <c r="I338" s="12">
        <f t="shared" si="96"/>
        <v>-1192.7628557665994</v>
      </c>
      <c r="J338" s="12">
        <f t="shared" si="91"/>
        <v>1823.9329406519705</v>
      </c>
      <c r="K338" s="12"/>
      <c r="L338" s="11">
        <f t="shared" si="97"/>
        <v>1909.6611818618114</v>
      </c>
      <c r="M338" s="11">
        <f t="shared" si="98"/>
        <v>198.6085392983947</v>
      </c>
      <c r="N338" s="11">
        <f t="shared" si="99"/>
        <v>1711.0526425634166</v>
      </c>
      <c r="O338" s="11">
        <f t="shared" si="100"/>
        <v>57871.509146954988</v>
      </c>
      <c r="P338" s="11">
        <f t="shared" si="101"/>
        <v>861913.08469102008</v>
      </c>
      <c r="Q338" s="11">
        <f t="shared" si="102"/>
        <v>804041.5755440651</v>
      </c>
      <c r="R338" s="11">
        <f t="shared" si="103"/>
        <v>-1070.927007728591</v>
      </c>
      <c r="S338" s="11">
        <f t="shared" si="104"/>
        <v>-1269.5355470269856</v>
      </c>
      <c r="T338" s="11">
        <f t="shared" si="92"/>
        <v>1244.3776166551565</v>
      </c>
    </row>
    <row r="339" spans="1:20">
      <c r="A339">
        <v>329</v>
      </c>
      <c r="B339" s="12">
        <f t="shared" si="90"/>
        <v>3819.3223637236229</v>
      </c>
      <c r="C339" s="12">
        <f t="shared" si="105"/>
        <v>385.81006097969993</v>
      </c>
      <c r="D339" s="12">
        <f t="shared" si="106"/>
        <v>3433.5123027439231</v>
      </c>
      <c r="E339" s="12">
        <f t="shared" si="107"/>
        <v>112309.50599116605</v>
      </c>
      <c r="F339" s="12">
        <f t="shared" si="93"/>
        <v>1726699.212997677</v>
      </c>
      <c r="G339" s="12">
        <f t="shared" si="94"/>
        <v>1614389.707006511</v>
      </c>
      <c r="H339" s="12">
        <f t="shared" si="95"/>
        <v>-796.87168679842648</v>
      </c>
      <c r="I339" s="12">
        <f t="shared" si="96"/>
        <v>-1182.6817477781265</v>
      </c>
      <c r="J339" s="12">
        <f t="shared" si="91"/>
        <v>1839.0418749678083</v>
      </c>
      <c r="K339" s="12"/>
      <c r="L339" s="11">
        <f t="shared" si="97"/>
        <v>1909.6611818618114</v>
      </c>
      <c r="M339" s="11">
        <f t="shared" si="98"/>
        <v>192.90503048984996</v>
      </c>
      <c r="N339" s="11">
        <f t="shared" si="99"/>
        <v>1716.7561513719616</v>
      </c>
      <c r="O339" s="11">
        <f t="shared" si="100"/>
        <v>56154.752995583025</v>
      </c>
      <c r="P339" s="11">
        <f t="shared" si="101"/>
        <v>863349.60649883852</v>
      </c>
      <c r="Q339" s="11">
        <f t="shared" si="102"/>
        <v>807194.85350325552</v>
      </c>
      <c r="R339" s="11">
        <f t="shared" si="103"/>
        <v>-1072.7118860748053</v>
      </c>
      <c r="S339" s="11">
        <f t="shared" si="104"/>
        <v>-1265.6169165646552</v>
      </c>
      <c r="T339" s="11">
        <f t="shared" si="92"/>
        <v>1252.4861023902904</v>
      </c>
    </row>
    <row r="340" spans="1:20">
      <c r="A340">
        <v>330</v>
      </c>
      <c r="B340" s="12">
        <f t="shared" si="90"/>
        <v>3819.3223637236229</v>
      </c>
      <c r="C340" s="12">
        <f t="shared" si="105"/>
        <v>374.36501997055348</v>
      </c>
      <c r="D340" s="12">
        <f t="shared" si="106"/>
        <v>3444.9573437530694</v>
      </c>
      <c r="E340" s="12">
        <f t="shared" si="107"/>
        <v>108864.54864741299</v>
      </c>
      <c r="F340" s="12">
        <f t="shared" si="93"/>
        <v>1729577.04501934</v>
      </c>
      <c r="G340" s="12">
        <f t="shared" si="94"/>
        <v>1620712.496371927</v>
      </c>
      <c r="H340" s="12">
        <f t="shared" si="95"/>
        <v>-798.19980627642394</v>
      </c>
      <c r="I340" s="12">
        <f t="shared" si="96"/>
        <v>-1172.5648262469774</v>
      </c>
      <c r="J340" s="12">
        <f t="shared" si="91"/>
        <v>1854.1950025368672</v>
      </c>
      <c r="K340" s="12"/>
      <c r="L340" s="11">
        <f t="shared" si="97"/>
        <v>1909.6611818618114</v>
      </c>
      <c r="M340" s="11">
        <f t="shared" si="98"/>
        <v>187.18250998527674</v>
      </c>
      <c r="N340" s="11">
        <f t="shared" si="99"/>
        <v>1722.4786718765347</v>
      </c>
      <c r="O340" s="11">
        <f t="shared" si="100"/>
        <v>54432.274323706493</v>
      </c>
      <c r="P340" s="11">
        <f t="shared" si="101"/>
        <v>864788.52250967</v>
      </c>
      <c r="Q340" s="11">
        <f t="shared" si="102"/>
        <v>810356.24818596349</v>
      </c>
      <c r="R340" s="11">
        <f t="shared" si="103"/>
        <v>-1074.4997392182634</v>
      </c>
      <c r="S340" s="11">
        <f t="shared" si="104"/>
        <v>-1261.6822492035401</v>
      </c>
      <c r="T340" s="11">
        <f t="shared" si="92"/>
        <v>1260.6176081163305</v>
      </c>
    </row>
    <row r="341" spans="1:20">
      <c r="A341">
        <v>331</v>
      </c>
      <c r="B341" s="12">
        <f t="shared" si="90"/>
        <v>3819.3223637236229</v>
      </c>
      <c r="C341" s="12">
        <f t="shared" si="105"/>
        <v>362.88182882471</v>
      </c>
      <c r="D341" s="12">
        <f t="shared" si="106"/>
        <v>3456.440534898913</v>
      </c>
      <c r="E341" s="12">
        <f t="shared" si="107"/>
        <v>105408.10811251408</v>
      </c>
      <c r="F341" s="12">
        <f t="shared" si="93"/>
        <v>1732459.6734277057</v>
      </c>
      <c r="G341" s="12">
        <f t="shared" si="94"/>
        <v>1627051.5653151916</v>
      </c>
      <c r="H341" s="12">
        <f t="shared" si="95"/>
        <v>-799.53013928688472</v>
      </c>
      <c r="I341" s="12">
        <f t="shared" si="96"/>
        <v>-1162.4119681115947</v>
      </c>
      <c r="J341" s="12">
        <f t="shared" si="91"/>
        <v>1869.3924603868902</v>
      </c>
      <c r="K341" s="12"/>
      <c r="L341" s="11">
        <f t="shared" si="97"/>
        <v>1909.6611818618114</v>
      </c>
      <c r="M341" s="11">
        <f t="shared" si="98"/>
        <v>181.440914412355</v>
      </c>
      <c r="N341" s="11">
        <f t="shared" si="99"/>
        <v>1728.2202674494565</v>
      </c>
      <c r="O341" s="11">
        <f t="shared" si="100"/>
        <v>52704.054056257039</v>
      </c>
      <c r="P341" s="11">
        <f t="shared" si="101"/>
        <v>866229.83671385283</v>
      </c>
      <c r="Q341" s="11">
        <f t="shared" si="102"/>
        <v>813525.78265759582</v>
      </c>
      <c r="R341" s="11">
        <f t="shared" si="103"/>
        <v>-1076.2905721169604</v>
      </c>
      <c r="S341" s="11">
        <f t="shared" si="104"/>
        <v>-1257.7314865293154</v>
      </c>
      <c r="T341" s="11">
        <f t="shared" si="92"/>
        <v>1268.7722038860886</v>
      </c>
    </row>
    <row r="342" spans="1:20">
      <c r="A342">
        <v>332</v>
      </c>
      <c r="B342" s="12">
        <f t="shared" si="90"/>
        <v>3819.3223637236229</v>
      </c>
      <c r="C342" s="12">
        <f t="shared" si="105"/>
        <v>351.36036037504692</v>
      </c>
      <c r="D342" s="12">
        <f t="shared" si="106"/>
        <v>3467.9620033485758</v>
      </c>
      <c r="E342" s="12">
        <f t="shared" si="107"/>
        <v>101940.14610916551</v>
      </c>
      <c r="F342" s="12">
        <f t="shared" si="93"/>
        <v>1735347.106216752</v>
      </c>
      <c r="G342" s="12">
        <f t="shared" si="94"/>
        <v>1633406.9601075863</v>
      </c>
      <c r="H342" s="12">
        <f t="shared" si="95"/>
        <v>-800.86268951902957</v>
      </c>
      <c r="I342" s="12">
        <f t="shared" si="96"/>
        <v>-1152.2230498940764</v>
      </c>
      <c r="J342" s="12">
        <f t="shared" si="91"/>
        <v>1884.6343859852393</v>
      </c>
      <c r="K342" s="12"/>
      <c r="L342" s="11">
        <f t="shared" si="97"/>
        <v>1909.6611818618114</v>
      </c>
      <c r="M342" s="11">
        <f t="shared" si="98"/>
        <v>175.68018018752346</v>
      </c>
      <c r="N342" s="11">
        <f t="shared" si="99"/>
        <v>1733.9810016742879</v>
      </c>
      <c r="O342" s="11">
        <f t="shared" si="100"/>
        <v>50970.073054582754</v>
      </c>
      <c r="P342" s="11">
        <f t="shared" si="101"/>
        <v>867673.55310837599</v>
      </c>
      <c r="Q342" s="11">
        <f t="shared" si="102"/>
        <v>816703.48005379317</v>
      </c>
      <c r="R342" s="11">
        <f t="shared" si="103"/>
        <v>-1078.0843897371553</v>
      </c>
      <c r="S342" s="11">
        <f t="shared" si="104"/>
        <v>-1253.7645699246789</v>
      </c>
      <c r="T342" s="11">
        <f t="shared" si="92"/>
        <v>1276.9499599747512</v>
      </c>
    </row>
    <row r="343" spans="1:20">
      <c r="A343">
        <v>333</v>
      </c>
      <c r="B343" s="12">
        <f t="shared" si="90"/>
        <v>3819.3223637236229</v>
      </c>
      <c r="C343" s="12">
        <f t="shared" si="105"/>
        <v>339.80048703055166</v>
      </c>
      <c r="D343" s="12">
        <f t="shared" si="106"/>
        <v>3479.5218766930711</v>
      </c>
      <c r="E343" s="12">
        <f t="shared" si="107"/>
        <v>98460.62423247243</v>
      </c>
      <c r="F343" s="12">
        <f t="shared" si="93"/>
        <v>1738239.35139378</v>
      </c>
      <c r="G343" s="12">
        <f t="shared" si="94"/>
        <v>1639778.7271613076</v>
      </c>
      <c r="H343" s="12">
        <f t="shared" si="95"/>
        <v>-802.19746066822802</v>
      </c>
      <c r="I343" s="12">
        <f t="shared" si="96"/>
        <v>-1141.9979476987796</v>
      </c>
      <c r="J343" s="12">
        <f t="shared" si="91"/>
        <v>1899.9209172403348</v>
      </c>
      <c r="K343" s="12"/>
      <c r="L343" s="11">
        <f t="shared" si="97"/>
        <v>1909.6611818618114</v>
      </c>
      <c r="M343" s="11">
        <f t="shared" si="98"/>
        <v>169.90024351527583</v>
      </c>
      <c r="N343" s="11">
        <f t="shared" si="99"/>
        <v>1739.7609383465356</v>
      </c>
      <c r="O343" s="11">
        <f t="shared" si="100"/>
        <v>49230.312116236215</v>
      </c>
      <c r="P343" s="11">
        <f t="shared" si="101"/>
        <v>869119.67569688999</v>
      </c>
      <c r="Q343" s="11">
        <f t="shared" si="102"/>
        <v>819889.36358065379</v>
      </c>
      <c r="R343" s="11">
        <f t="shared" si="103"/>
        <v>-1079.8811970533839</v>
      </c>
      <c r="S343" s="11">
        <f t="shared" si="104"/>
        <v>-1249.7814405686597</v>
      </c>
      <c r="T343" s="11">
        <f t="shared" si="92"/>
        <v>1285.1509468806028</v>
      </c>
    </row>
    <row r="344" spans="1:20">
      <c r="A344">
        <v>334</v>
      </c>
      <c r="B344" s="12">
        <f t="shared" si="90"/>
        <v>3819.3223637236229</v>
      </c>
      <c r="C344" s="12">
        <f t="shared" si="105"/>
        <v>328.2020807749081</v>
      </c>
      <c r="D344" s="12">
        <f t="shared" si="106"/>
        <v>3491.1202829487147</v>
      </c>
      <c r="E344" s="12">
        <f t="shared" si="107"/>
        <v>94969.503949523714</v>
      </c>
      <c r="F344" s="12">
        <f t="shared" si="93"/>
        <v>1741136.4169794363</v>
      </c>
      <c r="G344" s="12">
        <f t="shared" si="94"/>
        <v>1646166.9130299126</v>
      </c>
      <c r="H344" s="12">
        <f t="shared" si="95"/>
        <v>-803.53445643600844</v>
      </c>
      <c r="I344" s="12">
        <f t="shared" si="96"/>
        <v>-1131.7365372109166</v>
      </c>
      <c r="J344" s="12">
        <f t="shared" si="91"/>
        <v>1915.2521925030969</v>
      </c>
      <c r="K344" s="12"/>
      <c r="L344" s="11">
        <f t="shared" si="97"/>
        <v>1909.6611818618114</v>
      </c>
      <c r="M344" s="11">
        <f t="shared" si="98"/>
        <v>164.10104038745405</v>
      </c>
      <c r="N344" s="11">
        <f t="shared" si="99"/>
        <v>1745.5601414743574</v>
      </c>
      <c r="O344" s="11">
        <f t="shared" si="100"/>
        <v>47484.751974761857</v>
      </c>
      <c r="P344" s="11">
        <f t="shared" si="101"/>
        <v>870568.20848971815</v>
      </c>
      <c r="Q344" s="11">
        <f t="shared" si="102"/>
        <v>823083.45651495631</v>
      </c>
      <c r="R344" s="11">
        <f t="shared" si="103"/>
        <v>-1081.6809990484728</v>
      </c>
      <c r="S344" s="11">
        <f t="shared" si="104"/>
        <v>-1245.7820394359269</v>
      </c>
      <c r="T344" s="11">
        <f t="shared" si="92"/>
        <v>1293.375235325751</v>
      </c>
    </row>
    <row r="345" spans="1:20">
      <c r="A345">
        <v>335</v>
      </c>
      <c r="B345" s="12">
        <f t="shared" si="90"/>
        <v>3819.3223637236229</v>
      </c>
      <c r="C345" s="12">
        <f t="shared" si="105"/>
        <v>316.56501316507905</v>
      </c>
      <c r="D345" s="12">
        <f t="shared" si="106"/>
        <v>3502.7573505585437</v>
      </c>
      <c r="E345" s="12">
        <f t="shared" si="107"/>
        <v>91466.746598965168</v>
      </c>
      <c r="F345" s="12">
        <f t="shared" si="93"/>
        <v>1744038.3110077353</v>
      </c>
      <c r="G345" s="12">
        <f t="shared" si="94"/>
        <v>1652571.5644087701</v>
      </c>
      <c r="H345" s="12">
        <f t="shared" si="95"/>
        <v>-804.87368053006844</v>
      </c>
      <c r="I345" s="12">
        <f t="shared" si="96"/>
        <v>-1121.4386936951475</v>
      </c>
      <c r="J345" s="12">
        <f t="shared" si="91"/>
        <v>1930.6283505683889</v>
      </c>
      <c r="K345" s="12"/>
      <c r="L345" s="11">
        <f t="shared" si="97"/>
        <v>1909.6611818618114</v>
      </c>
      <c r="M345" s="11">
        <f t="shared" si="98"/>
        <v>158.28250658253953</v>
      </c>
      <c r="N345" s="11">
        <f t="shared" si="99"/>
        <v>1751.3786752792719</v>
      </c>
      <c r="O345" s="11">
        <f t="shared" si="100"/>
        <v>45733.373299482584</v>
      </c>
      <c r="P345" s="11">
        <f t="shared" si="101"/>
        <v>872019.15550386766</v>
      </c>
      <c r="Q345" s="11">
        <f t="shared" si="102"/>
        <v>826285.78220438503</v>
      </c>
      <c r="R345" s="11">
        <f t="shared" si="103"/>
        <v>-1083.4838007135536</v>
      </c>
      <c r="S345" s="11">
        <f t="shared" si="104"/>
        <v>-1241.7663072960931</v>
      </c>
      <c r="T345" s="11">
        <f t="shared" si="92"/>
        <v>1301.6228962568543</v>
      </c>
    </row>
    <row r="346" spans="1:20">
      <c r="A346">
        <v>336</v>
      </c>
      <c r="B346" s="12">
        <f t="shared" si="90"/>
        <v>3819.3223637236229</v>
      </c>
      <c r="C346" s="12">
        <f t="shared" si="105"/>
        <v>304.88915532988386</v>
      </c>
      <c r="D346" s="12">
        <f t="shared" si="106"/>
        <v>3514.4332083937388</v>
      </c>
      <c r="E346" s="12">
        <f t="shared" si="107"/>
        <v>87952.313390571435</v>
      </c>
      <c r="F346" s="12">
        <f t="shared" si="93"/>
        <v>1746945.0415260815</v>
      </c>
      <c r="G346" s="12">
        <f t="shared" si="94"/>
        <v>1658992.7281355101</v>
      </c>
      <c r="H346" s="12">
        <f t="shared" si="95"/>
        <v>-806.2151366642853</v>
      </c>
      <c r="I346" s="12">
        <f t="shared" si="96"/>
        <v>-1111.1042919941692</v>
      </c>
      <c r="J346" s="12">
        <f t="shared" si="91"/>
        <v>1946.0495306764728</v>
      </c>
      <c r="K346" s="12"/>
      <c r="L346" s="11">
        <f t="shared" si="97"/>
        <v>1909.6611818618114</v>
      </c>
      <c r="M346" s="11">
        <f t="shared" si="98"/>
        <v>152.44457766494193</v>
      </c>
      <c r="N346" s="11">
        <f t="shared" si="99"/>
        <v>1757.2166041968694</v>
      </c>
      <c r="O346" s="11">
        <f t="shared" si="100"/>
        <v>43976.156695285717</v>
      </c>
      <c r="P346" s="11">
        <f t="shared" si="101"/>
        <v>873472.52076304075</v>
      </c>
      <c r="Q346" s="11">
        <f t="shared" si="102"/>
        <v>829496.36406775506</v>
      </c>
      <c r="R346" s="11">
        <f t="shared" si="103"/>
        <v>-1085.2896070480763</v>
      </c>
      <c r="S346" s="11">
        <f t="shared" si="104"/>
        <v>-1237.7341847130183</v>
      </c>
      <c r="T346" s="11">
        <f t="shared" si="92"/>
        <v>1309.8940008458503</v>
      </c>
    </row>
    <row r="347" spans="1:20">
      <c r="A347">
        <v>337</v>
      </c>
      <c r="B347" s="12">
        <f t="shared" si="90"/>
        <v>3819.3223637236229</v>
      </c>
      <c r="C347" s="12">
        <f t="shared" si="105"/>
        <v>293.17437796857149</v>
      </c>
      <c r="D347" s="12">
        <f t="shared" si="106"/>
        <v>3526.1479857550512</v>
      </c>
      <c r="E347" s="12">
        <f t="shared" si="107"/>
        <v>84426.165404816391</v>
      </c>
      <c r="F347" s="12">
        <f t="shared" si="93"/>
        <v>1749856.6165952918</v>
      </c>
      <c r="G347" s="12">
        <f t="shared" si="94"/>
        <v>1665430.4511904754</v>
      </c>
      <c r="H347" s="12">
        <f t="shared" si="95"/>
        <v>-807.55882855872585</v>
      </c>
      <c r="I347" s="12">
        <f t="shared" si="96"/>
        <v>-1100.7332065272974</v>
      </c>
      <c r="J347" s="12">
        <f t="shared" si="91"/>
        <v>1961.5158725144631</v>
      </c>
      <c r="K347" s="12"/>
      <c r="L347" s="11">
        <f t="shared" si="97"/>
        <v>1909.6611818618114</v>
      </c>
      <c r="M347" s="11">
        <f t="shared" si="98"/>
        <v>146.58718898428575</v>
      </c>
      <c r="N347" s="11">
        <f t="shared" si="99"/>
        <v>1763.0739928775256</v>
      </c>
      <c r="O347" s="11">
        <f t="shared" si="100"/>
        <v>42213.082702408195</v>
      </c>
      <c r="P347" s="11">
        <f t="shared" si="101"/>
        <v>874928.30829764588</v>
      </c>
      <c r="Q347" s="11">
        <f t="shared" si="102"/>
        <v>832715.22559523769</v>
      </c>
      <c r="R347" s="11">
        <f t="shared" si="103"/>
        <v>-1087.0984230598231</v>
      </c>
      <c r="S347" s="11">
        <f t="shared" si="104"/>
        <v>-1233.6856120441089</v>
      </c>
      <c r="T347" s="11">
        <f t="shared" si="92"/>
        <v>1318.1886204906918</v>
      </c>
    </row>
    <row r="348" spans="1:20">
      <c r="A348">
        <v>338</v>
      </c>
      <c r="B348" s="12">
        <f t="shared" si="90"/>
        <v>3819.3223637236229</v>
      </c>
      <c r="C348" s="12">
        <f t="shared" si="105"/>
        <v>281.42055134938795</v>
      </c>
      <c r="D348" s="12">
        <f t="shared" si="106"/>
        <v>3537.9018123742349</v>
      </c>
      <c r="E348" s="12">
        <f t="shared" si="107"/>
        <v>80888.263592442163</v>
      </c>
      <c r="F348" s="12">
        <f t="shared" si="93"/>
        <v>1752773.0442896173</v>
      </c>
      <c r="G348" s="12">
        <f t="shared" si="94"/>
        <v>1671884.7806971751</v>
      </c>
      <c r="H348" s="12">
        <f t="shared" si="95"/>
        <v>-808.90475993965708</v>
      </c>
      <c r="I348" s="12">
        <f t="shared" si="96"/>
        <v>-1090.325311289045</v>
      </c>
      <c r="J348" s="12">
        <f t="shared" si="91"/>
        <v>1977.0275162177852</v>
      </c>
      <c r="K348" s="12"/>
      <c r="L348" s="11">
        <f t="shared" si="97"/>
        <v>1909.6611818618114</v>
      </c>
      <c r="M348" s="11">
        <f t="shared" si="98"/>
        <v>140.71027567469397</v>
      </c>
      <c r="N348" s="11">
        <f t="shared" si="99"/>
        <v>1768.9509061871174</v>
      </c>
      <c r="O348" s="11">
        <f t="shared" si="100"/>
        <v>40444.131796221081</v>
      </c>
      <c r="P348" s="11">
        <f t="shared" si="101"/>
        <v>876386.52214480867</v>
      </c>
      <c r="Q348" s="11">
        <f t="shared" si="102"/>
        <v>835942.39034858753</v>
      </c>
      <c r="R348" s="11">
        <f t="shared" si="103"/>
        <v>-1088.9102537649228</v>
      </c>
      <c r="S348" s="11">
        <f t="shared" si="104"/>
        <v>-1229.6205294396168</v>
      </c>
      <c r="T348" s="11">
        <f t="shared" si="92"/>
        <v>1326.5068268160749</v>
      </c>
    </row>
    <row r="349" spans="1:20">
      <c r="A349">
        <v>339</v>
      </c>
      <c r="B349" s="12">
        <f t="shared" si="90"/>
        <v>3819.3223637236229</v>
      </c>
      <c r="C349" s="12">
        <f t="shared" si="105"/>
        <v>269.62754530814055</v>
      </c>
      <c r="D349" s="12">
        <f t="shared" si="106"/>
        <v>3549.6948184154821</v>
      </c>
      <c r="E349" s="12">
        <f t="shared" si="107"/>
        <v>77338.568774026688</v>
      </c>
      <c r="F349" s="12">
        <f t="shared" si="93"/>
        <v>1755694.3326967668</v>
      </c>
      <c r="G349" s="12">
        <f t="shared" si="94"/>
        <v>1678355.7639227402</v>
      </c>
      <c r="H349" s="12">
        <f t="shared" si="95"/>
        <v>-810.25293453955658</v>
      </c>
      <c r="I349" s="12">
        <f t="shared" si="96"/>
        <v>-1079.8804798476972</v>
      </c>
      <c r="J349" s="12">
        <f t="shared" si="91"/>
        <v>1992.5846023716445</v>
      </c>
      <c r="K349" s="12"/>
      <c r="L349" s="11">
        <f t="shared" si="97"/>
        <v>1909.6611818618114</v>
      </c>
      <c r="M349" s="11">
        <f t="shared" si="98"/>
        <v>134.81377265407028</v>
      </c>
      <c r="N349" s="11">
        <f t="shared" si="99"/>
        <v>1774.8474092077411</v>
      </c>
      <c r="O349" s="11">
        <f t="shared" si="100"/>
        <v>38669.284387013344</v>
      </c>
      <c r="P349" s="11">
        <f t="shared" si="101"/>
        <v>877847.16634838341</v>
      </c>
      <c r="Q349" s="11">
        <f t="shared" si="102"/>
        <v>839177.88196137012</v>
      </c>
      <c r="R349" s="11">
        <f t="shared" si="103"/>
        <v>-1090.7251041878644</v>
      </c>
      <c r="S349" s="11">
        <f t="shared" si="104"/>
        <v>-1225.5388768419348</v>
      </c>
      <c r="T349" s="11">
        <f t="shared" si="92"/>
        <v>1334.8486916741836</v>
      </c>
    </row>
    <row r="350" spans="1:20">
      <c r="A350">
        <v>340</v>
      </c>
      <c r="B350" s="12">
        <f t="shared" si="90"/>
        <v>3819.3223637236229</v>
      </c>
      <c r="C350" s="12">
        <f t="shared" si="105"/>
        <v>257.79522924675564</v>
      </c>
      <c r="D350" s="12">
        <f t="shared" si="106"/>
        <v>3561.5271344768671</v>
      </c>
      <c r="E350" s="12">
        <f t="shared" si="107"/>
        <v>73777.041639549818</v>
      </c>
      <c r="F350" s="12">
        <f t="shared" si="93"/>
        <v>1758620.4899179281</v>
      </c>
      <c r="G350" s="12">
        <f t="shared" si="94"/>
        <v>1684843.4482783782</v>
      </c>
      <c r="H350" s="12">
        <f t="shared" si="95"/>
        <v>-811.60335609712251</v>
      </c>
      <c r="I350" s="12">
        <f t="shared" si="96"/>
        <v>-1069.398585343878</v>
      </c>
      <c r="J350" s="12">
        <f t="shared" si="91"/>
        <v>2008.1872720124957</v>
      </c>
      <c r="K350" s="12"/>
      <c r="L350" s="11">
        <f t="shared" si="97"/>
        <v>1909.6611818618114</v>
      </c>
      <c r="M350" s="11">
        <f t="shared" si="98"/>
        <v>128.89761462337782</v>
      </c>
      <c r="N350" s="11">
        <f t="shared" si="99"/>
        <v>1780.7635672384336</v>
      </c>
      <c r="O350" s="11">
        <f t="shared" si="100"/>
        <v>36888.520819774909</v>
      </c>
      <c r="P350" s="11">
        <f t="shared" si="101"/>
        <v>879310.24495896406</v>
      </c>
      <c r="Q350" s="11">
        <f t="shared" si="102"/>
        <v>842421.72413918911</v>
      </c>
      <c r="R350" s="11">
        <f t="shared" si="103"/>
        <v>-1092.5429793615108</v>
      </c>
      <c r="S350" s="11">
        <f t="shared" si="104"/>
        <v>-1221.4405939848887</v>
      </c>
      <c r="T350" s="11">
        <f t="shared" si="92"/>
        <v>1343.2142871454237</v>
      </c>
    </row>
    <row r="351" spans="1:20">
      <c r="A351">
        <v>341</v>
      </c>
      <c r="B351" s="12">
        <f t="shared" si="90"/>
        <v>3819.3223637236229</v>
      </c>
      <c r="C351" s="12">
        <f t="shared" si="105"/>
        <v>245.92347213183271</v>
      </c>
      <c r="D351" s="12">
        <f t="shared" si="106"/>
        <v>3573.3988915917903</v>
      </c>
      <c r="E351" s="12">
        <f t="shared" si="107"/>
        <v>70203.642747958031</v>
      </c>
      <c r="F351" s="12">
        <f t="shared" si="93"/>
        <v>1761551.5240677914</v>
      </c>
      <c r="G351" s="12">
        <f t="shared" si="94"/>
        <v>1691347.8813198335</v>
      </c>
      <c r="H351" s="12">
        <f t="shared" si="95"/>
        <v>-812.95602835728437</v>
      </c>
      <c r="I351" s="12">
        <f t="shared" si="96"/>
        <v>-1058.8795004891172</v>
      </c>
      <c r="J351" s="12">
        <f t="shared" si="91"/>
        <v>2023.8356666295172</v>
      </c>
      <c r="K351" s="12"/>
      <c r="L351" s="11">
        <f t="shared" si="97"/>
        <v>1909.6611818618114</v>
      </c>
      <c r="M351" s="11">
        <f t="shared" si="98"/>
        <v>122.96173606591636</v>
      </c>
      <c r="N351" s="11">
        <f t="shared" si="99"/>
        <v>1786.6994457958951</v>
      </c>
      <c r="O351" s="11">
        <f t="shared" si="100"/>
        <v>35101.821373979015</v>
      </c>
      <c r="P351" s="11">
        <f t="shared" si="101"/>
        <v>880775.76203389571</v>
      </c>
      <c r="Q351" s="11">
        <f t="shared" si="102"/>
        <v>845673.94065991673</v>
      </c>
      <c r="R351" s="11">
        <f t="shared" si="103"/>
        <v>-1094.3638843271133</v>
      </c>
      <c r="S351" s="11">
        <f t="shared" si="104"/>
        <v>-1217.3256203930296</v>
      </c>
      <c r="T351" s="11">
        <f t="shared" si="92"/>
        <v>1351.6036855391662</v>
      </c>
    </row>
    <row r="352" spans="1:20">
      <c r="A352">
        <v>342</v>
      </c>
      <c r="B352" s="12">
        <f t="shared" si="90"/>
        <v>3819.3223637236229</v>
      </c>
      <c r="C352" s="12">
        <f t="shared" si="105"/>
        <v>234.01214249319344</v>
      </c>
      <c r="D352" s="12">
        <f t="shared" si="106"/>
        <v>3585.3102212304293</v>
      </c>
      <c r="E352" s="12">
        <f t="shared" si="107"/>
        <v>66618.332526727609</v>
      </c>
      <c r="F352" s="12">
        <f t="shared" si="93"/>
        <v>1764487.4432745711</v>
      </c>
      <c r="G352" s="12">
        <f t="shared" si="94"/>
        <v>1697869.1107478435</v>
      </c>
      <c r="H352" s="12">
        <f t="shared" si="95"/>
        <v>-814.31095507121324</v>
      </c>
      <c r="I352" s="12">
        <f t="shared" si="96"/>
        <v>-1048.3230975644067</v>
      </c>
      <c r="J352" s="12">
        <f t="shared" si="91"/>
        <v>2039.5299281660925</v>
      </c>
      <c r="K352" s="12"/>
      <c r="L352" s="11">
        <f t="shared" si="97"/>
        <v>1909.6611818618114</v>
      </c>
      <c r="M352" s="11">
        <f t="shared" si="98"/>
        <v>117.00607124659672</v>
      </c>
      <c r="N352" s="11">
        <f t="shared" si="99"/>
        <v>1792.6551106152147</v>
      </c>
      <c r="O352" s="11">
        <f t="shared" si="100"/>
        <v>33309.166263363804</v>
      </c>
      <c r="P352" s="11">
        <f t="shared" si="101"/>
        <v>882243.72163728555</v>
      </c>
      <c r="Q352" s="11">
        <f t="shared" si="102"/>
        <v>848934.55537392176</v>
      </c>
      <c r="R352" s="11">
        <f t="shared" si="103"/>
        <v>-1096.1878241343252</v>
      </c>
      <c r="S352" s="11">
        <f t="shared" si="104"/>
        <v>-1213.193895380922</v>
      </c>
      <c r="T352" s="11">
        <f t="shared" si="92"/>
        <v>1360.0169593944941</v>
      </c>
    </row>
    <row r="353" spans="1:20">
      <c r="A353">
        <v>343</v>
      </c>
      <c r="B353" s="12">
        <f t="shared" si="90"/>
        <v>3819.3223637236229</v>
      </c>
      <c r="C353" s="12">
        <f t="shared" si="105"/>
        <v>222.06110842242538</v>
      </c>
      <c r="D353" s="12">
        <f t="shared" si="106"/>
        <v>3597.2612553011977</v>
      </c>
      <c r="E353" s="12">
        <f t="shared" si="107"/>
        <v>63021.071271426408</v>
      </c>
      <c r="F353" s="12">
        <f t="shared" si="93"/>
        <v>1767428.2556800288</v>
      </c>
      <c r="G353" s="12">
        <f t="shared" si="94"/>
        <v>1704407.1844086023</v>
      </c>
      <c r="H353" s="12">
        <f t="shared" si="95"/>
        <v>-815.668139996332</v>
      </c>
      <c r="I353" s="12">
        <f t="shared" si="96"/>
        <v>-1037.7292484187574</v>
      </c>
      <c r="J353" s="12">
        <f t="shared" si="91"/>
        <v>2055.2701990212927</v>
      </c>
      <c r="K353" s="12"/>
      <c r="L353" s="11">
        <f t="shared" si="97"/>
        <v>1909.6611818618114</v>
      </c>
      <c r="M353" s="11">
        <f t="shared" si="98"/>
        <v>111.03055421121269</v>
      </c>
      <c r="N353" s="11">
        <f t="shared" si="99"/>
        <v>1798.6306276505989</v>
      </c>
      <c r="O353" s="11">
        <f t="shared" si="100"/>
        <v>31510.535635713204</v>
      </c>
      <c r="P353" s="11">
        <f t="shared" si="101"/>
        <v>883714.12784001441</v>
      </c>
      <c r="Q353" s="11">
        <f t="shared" si="102"/>
        <v>852203.59220430115</v>
      </c>
      <c r="R353" s="11">
        <f t="shared" si="103"/>
        <v>-1098.0148038412158</v>
      </c>
      <c r="S353" s="11">
        <f t="shared" si="104"/>
        <v>-1209.0453580524286</v>
      </c>
      <c r="T353" s="11">
        <f t="shared" si="92"/>
        <v>1368.4541814809468</v>
      </c>
    </row>
    <row r="354" spans="1:20">
      <c r="A354">
        <v>344</v>
      </c>
      <c r="B354" s="12">
        <f t="shared" si="90"/>
        <v>3819.3223637236229</v>
      </c>
      <c r="C354" s="12">
        <f t="shared" si="105"/>
        <v>210.07023757142136</v>
      </c>
      <c r="D354" s="12">
        <f t="shared" si="106"/>
        <v>3609.2521261522015</v>
      </c>
      <c r="E354" s="12">
        <f t="shared" si="107"/>
        <v>59411.819145274203</v>
      </c>
      <c r="F354" s="12">
        <f t="shared" si="93"/>
        <v>1770373.9694394956</v>
      </c>
      <c r="G354" s="12">
        <f t="shared" si="94"/>
        <v>1710962.1502942215</v>
      </c>
      <c r="H354" s="12">
        <f t="shared" si="95"/>
        <v>-817.02758689632594</v>
      </c>
      <c r="I354" s="12">
        <f t="shared" si="96"/>
        <v>-1027.0978244677474</v>
      </c>
      <c r="J354" s="12">
        <f t="shared" si="91"/>
        <v>2071.0566220513692</v>
      </c>
      <c r="K354" s="12"/>
      <c r="L354" s="11">
        <f t="shared" si="97"/>
        <v>1909.6611818618114</v>
      </c>
      <c r="M354" s="11">
        <f t="shared" si="98"/>
        <v>105.03511878571068</v>
      </c>
      <c r="N354" s="11">
        <f t="shared" si="99"/>
        <v>1804.6260630761008</v>
      </c>
      <c r="O354" s="11">
        <f t="shared" si="100"/>
        <v>29705.909572637102</v>
      </c>
      <c r="P354" s="11">
        <f t="shared" si="101"/>
        <v>885186.98471974779</v>
      </c>
      <c r="Q354" s="11">
        <f t="shared" si="102"/>
        <v>855481.07514711074</v>
      </c>
      <c r="R354" s="11">
        <f t="shared" si="103"/>
        <v>-1099.8448285142845</v>
      </c>
      <c r="S354" s="11">
        <f t="shared" si="104"/>
        <v>-1204.8799472999951</v>
      </c>
      <c r="T354" s="11">
        <f t="shared" si="92"/>
        <v>1376.9154247992694</v>
      </c>
    </row>
    <row r="355" spans="1:20">
      <c r="A355">
        <v>345</v>
      </c>
      <c r="B355" s="12">
        <f t="shared" si="90"/>
        <v>3819.3223637236229</v>
      </c>
      <c r="C355" s="12">
        <f t="shared" si="105"/>
        <v>198.03939715091403</v>
      </c>
      <c r="D355" s="12">
        <f t="shared" si="106"/>
        <v>3621.282966572709</v>
      </c>
      <c r="E355" s="12">
        <f t="shared" si="107"/>
        <v>55790.536178701492</v>
      </c>
      <c r="F355" s="12">
        <f t="shared" si="93"/>
        <v>1773324.5927218948</v>
      </c>
      <c r="G355" s="12">
        <f t="shared" si="94"/>
        <v>1717534.0565431933</v>
      </c>
      <c r="H355" s="12">
        <f t="shared" si="95"/>
        <v>-818.38929954115315</v>
      </c>
      <c r="I355" s="12">
        <f t="shared" si="96"/>
        <v>-1016.4286966920672</v>
      </c>
      <c r="J355" s="12">
        <f t="shared" si="91"/>
        <v>2086.8893405712483</v>
      </c>
      <c r="K355" s="12"/>
      <c r="L355" s="11">
        <f t="shared" si="97"/>
        <v>1909.6611818618114</v>
      </c>
      <c r="M355" s="11">
        <f t="shared" si="98"/>
        <v>99.019698575457014</v>
      </c>
      <c r="N355" s="11">
        <f t="shared" si="99"/>
        <v>1810.6414832863545</v>
      </c>
      <c r="O355" s="11">
        <f t="shared" si="100"/>
        <v>27895.268089350746</v>
      </c>
      <c r="P355" s="11">
        <f t="shared" si="101"/>
        <v>886662.29636094742</v>
      </c>
      <c r="Q355" s="11">
        <f t="shared" si="102"/>
        <v>858767.02827159665</v>
      </c>
      <c r="R355" s="11">
        <f t="shared" si="103"/>
        <v>-1101.6779032284751</v>
      </c>
      <c r="S355" s="11">
        <f t="shared" si="104"/>
        <v>-1200.697601803932</v>
      </c>
      <c r="T355" s="11">
        <f t="shared" si="92"/>
        <v>1385.4007625821648</v>
      </c>
    </row>
    <row r="356" spans="1:20">
      <c r="A356">
        <v>346</v>
      </c>
      <c r="B356" s="12">
        <f t="shared" si="90"/>
        <v>3819.3223637236229</v>
      </c>
      <c r="C356" s="12">
        <f t="shared" si="105"/>
        <v>185.96845392900499</v>
      </c>
      <c r="D356" s="12">
        <f t="shared" si="106"/>
        <v>3633.3539097946177</v>
      </c>
      <c r="E356" s="12">
        <f t="shared" si="107"/>
        <v>52157.182268906872</v>
      </c>
      <c r="F356" s="12">
        <f t="shared" si="93"/>
        <v>1776280.1337097648</v>
      </c>
      <c r="G356" s="12">
        <f t="shared" si="94"/>
        <v>1724122.951440858</v>
      </c>
      <c r="H356" s="12">
        <f t="shared" si="95"/>
        <v>-819.75328170705507</v>
      </c>
      <c r="I356" s="12">
        <f t="shared" si="96"/>
        <v>-1005.7217356360601</v>
      </c>
      <c r="J356" s="12">
        <f t="shared" si="91"/>
        <v>2102.768498356028</v>
      </c>
      <c r="K356" s="12"/>
      <c r="L356" s="11">
        <f t="shared" si="97"/>
        <v>1909.6611818618114</v>
      </c>
      <c r="M356" s="11">
        <f t="shared" si="98"/>
        <v>92.984226964502497</v>
      </c>
      <c r="N356" s="11">
        <f t="shared" si="99"/>
        <v>1816.6769548973089</v>
      </c>
      <c r="O356" s="11">
        <f t="shared" si="100"/>
        <v>26078.591134453436</v>
      </c>
      <c r="P356" s="11">
        <f t="shared" si="101"/>
        <v>888140.0668548824</v>
      </c>
      <c r="Q356" s="11">
        <f t="shared" si="102"/>
        <v>862061.47572042898</v>
      </c>
      <c r="R356" s="11">
        <f t="shared" si="103"/>
        <v>-1103.5140330671893</v>
      </c>
      <c r="S356" s="11">
        <f t="shared" si="104"/>
        <v>-1196.4982600316919</v>
      </c>
      <c r="T356" s="11">
        <f t="shared" si="92"/>
        <v>1393.9102682950486</v>
      </c>
    </row>
    <row r="357" spans="1:20">
      <c r="A357">
        <v>347</v>
      </c>
      <c r="B357" s="12">
        <f t="shared" si="90"/>
        <v>3819.3223637236229</v>
      </c>
      <c r="C357" s="12">
        <f t="shared" si="105"/>
        <v>173.85727422968958</v>
      </c>
      <c r="D357" s="12">
        <f t="shared" si="106"/>
        <v>3645.4650894939332</v>
      </c>
      <c r="E357" s="12">
        <f t="shared" si="107"/>
        <v>48511.717179412939</v>
      </c>
      <c r="F357" s="12">
        <f t="shared" si="93"/>
        <v>1779240.6005992813</v>
      </c>
      <c r="G357" s="12">
        <f t="shared" si="94"/>
        <v>1730728.8834198683</v>
      </c>
      <c r="H357" s="12">
        <f t="shared" si="95"/>
        <v>-821.11953717656684</v>
      </c>
      <c r="I357" s="12">
        <f t="shared" si="96"/>
        <v>-994.97681140625639</v>
      </c>
      <c r="J357" s="12">
        <f t="shared" si="91"/>
        <v>2118.6942396424856</v>
      </c>
      <c r="K357" s="12"/>
      <c r="L357" s="11">
        <f t="shared" si="97"/>
        <v>1909.6611818618114</v>
      </c>
      <c r="M357" s="11">
        <f t="shared" si="98"/>
        <v>86.92863711484479</v>
      </c>
      <c r="N357" s="11">
        <f t="shared" si="99"/>
        <v>1822.7325447469666</v>
      </c>
      <c r="O357" s="11">
        <f t="shared" si="100"/>
        <v>24255.85858970647</v>
      </c>
      <c r="P357" s="11">
        <f t="shared" si="101"/>
        <v>889620.30029964063</v>
      </c>
      <c r="Q357" s="11">
        <f t="shared" si="102"/>
        <v>865364.44170993415</v>
      </c>
      <c r="R357" s="11">
        <f t="shared" si="103"/>
        <v>-1105.3532231223014</v>
      </c>
      <c r="S357" s="11">
        <f t="shared" si="104"/>
        <v>-1192.2818602371462</v>
      </c>
      <c r="T357" s="11">
        <f t="shared" si="92"/>
        <v>1402.4440156368055</v>
      </c>
    </row>
    <row r="358" spans="1:20">
      <c r="A358">
        <v>348</v>
      </c>
      <c r="B358" s="12">
        <f t="shared" si="90"/>
        <v>3819.3223637236229</v>
      </c>
      <c r="C358" s="12">
        <f t="shared" si="105"/>
        <v>161.70572393137647</v>
      </c>
      <c r="D358" s="12">
        <f t="shared" si="106"/>
        <v>3657.6166397922466</v>
      </c>
      <c r="E358" s="12">
        <f t="shared" si="107"/>
        <v>44854.100539620689</v>
      </c>
      <c r="F358" s="12">
        <f t="shared" si="93"/>
        <v>1782206.0016002802</v>
      </c>
      <c r="G358" s="12">
        <f t="shared" si="94"/>
        <v>1737351.9010606594</v>
      </c>
      <c r="H358" s="12">
        <f t="shared" si="95"/>
        <v>-822.48806973852777</v>
      </c>
      <c r="I358" s="12">
        <f t="shared" si="96"/>
        <v>-984.19379366990427</v>
      </c>
      <c r="J358" s="12">
        <f t="shared" si="91"/>
        <v>2134.6667091305858</v>
      </c>
      <c r="K358" s="12"/>
      <c r="L358" s="11">
        <f t="shared" si="97"/>
        <v>1909.6611818618114</v>
      </c>
      <c r="M358" s="11">
        <f t="shared" si="98"/>
        <v>80.852861965688234</v>
      </c>
      <c r="N358" s="11">
        <f t="shared" si="99"/>
        <v>1828.8083198961233</v>
      </c>
      <c r="O358" s="11">
        <f t="shared" si="100"/>
        <v>22427.050269810345</v>
      </c>
      <c r="P358" s="11">
        <f t="shared" si="101"/>
        <v>891103.00080014009</v>
      </c>
      <c r="Q358" s="11">
        <f t="shared" si="102"/>
        <v>868675.95053032972</v>
      </c>
      <c r="R358" s="11">
        <f t="shared" si="103"/>
        <v>-1107.195478494172</v>
      </c>
      <c r="S358" s="11">
        <f t="shared" si="104"/>
        <v>-1188.0483404598601</v>
      </c>
      <c r="T358" s="11">
        <f t="shared" si="92"/>
        <v>1411.0020785405484</v>
      </c>
    </row>
    <row r="359" spans="1:20">
      <c r="A359">
        <v>349</v>
      </c>
      <c r="B359" s="12">
        <f t="shared" si="90"/>
        <v>3819.3223637236229</v>
      </c>
      <c r="C359" s="12">
        <f t="shared" si="105"/>
        <v>149.5136684654023</v>
      </c>
      <c r="D359" s="12">
        <f t="shared" si="106"/>
        <v>3669.8086952582207</v>
      </c>
      <c r="E359" s="12">
        <f t="shared" si="107"/>
        <v>41184.291844362466</v>
      </c>
      <c r="F359" s="12">
        <f t="shared" si="93"/>
        <v>1785176.3449362807</v>
      </c>
      <c r="G359" s="12">
        <f t="shared" si="94"/>
        <v>1743992.0530919184</v>
      </c>
      <c r="H359" s="12">
        <f t="shared" si="95"/>
        <v>-823.85888318809202</v>
      </c>
      <c r="I359" s="12">
        <f t="shared" si="96"/>
        <v>-973.37255165349438</v>
      </c>
      <c r="J359" s="12">
        <f t="shared" si="91"/>
        <v>2150.686051984997</v>
      </c>
      <c r="K359" s="12"/>
      <c r="L359" s="11">
        <f t="shared" si="97"/>
        <v>1909.6611818618114</v>
      </c>
      <c r="M359" s="11">
        <f t="shared" si="98"/>
        <v>74.756834232701152</v>
      </c>
      <c r="N359" s="11">
        <f t="shared" si="99"/>
        <v>1834.9043476291104</v>
      </c>
      <c r="O359" s="11">
        <f t="shared" si="100"/>
        <v>20592.145922181233</v>
      </c>
      <c r="P359" s="11">
        <f t="shared" si="101"/>
        <v>892588.17246814037</v>
      </c>
      <c r="Q359" s="11">
        <f t="shared" si="102"/>
        <v>871996.02654595918</v>
      </c>
      <c r="R359" s="11">
        <f t="shared" si="103"/>
        <v>-1109.0408042916624</v>
      </c>
      <c r="S359" s="11">
        <f t="shared" si="104"/>
        <v>-1183.7976385243635</v>
      </c>
      <c r="T359" s="11">
        <f t="shared" si="92"/>
        <v>1419.584531174379</v>
      </c>
    </row>
    <row r="360" spans="1:20">
      <c r="A360">
        <v>350</v>
      </c>
      <c r="B360" s="12">
        <f t="shared" si="90"/>
        <v>3819.3223637236229</v>
      </c>
      <c r="C360" s="12">
        <f t="shared" si="105"/>
        <v>137.28097281454157</v>
      </c>
      <c r="D360" s="12">
        <f t="shared" si="106"/>
        <v>3682.0413909090812</v>
      </c>
      <c r="E360" s="12">
        <f t="shared" si="107"/>
        <v>37502.250453453387</v>
      </c>
      <c r="F360" s="12">
        <f t="shared" si="93"/>
        <v>1788151.638844508</v>
      </c>
      <c r="G360" s="12">
        <f t="shared" si="94"/>
        <v>1750649.3883910547</v>
      </c>
      <c r="H360" s="12">
        <f t="shared" si="95"/>
        <v>-825.23198132673883</v>
      </c>
      <c r="I360" s="12">
        <f t="shared" si="96"/>
        <v>-962.51295414128037</v>
      </c>
      <c r="J360" s="12">
        <f t="shared" si="91"/>
        <v>2166.752413836608</v>
      </c>
      <c r="K360" s="12"/>
      <c r="L360" s="11">
        <f t="shared" si="97"/>
        <v>1909.6611818618114</v>
      </c>
      <c r="M360" s="11">
        <f t="shared" si="98"/>
        <v>68.640486407270785</v>
      </c>
      <c r="N360" s="11">
        <f t="shared" si="99"/>
        <v>1841.0206954545406</v>
      </c>
      <c r="O360" s="11">
        <f t="shared" si="100"/>
        <v>18751.125226726694</v>
      </c>
      <c r="P360" s="11">
        <f t="shared" si="101"/>
        <v>894075.81942225399</v>
      </c>
      <c r="Q360" s="11">
        <f t="shared" si="102"/>
        <v>875324.69419552735</v>
      </c>
      <c r="R360" s="11">
        <f t="shared" si="103"/>
        <v>-1110.8892056321486</v>
      </c>
      <c r="S360" s="11">
        <f t="shared" si="104"/>
        <v>-1179.5296920394194</v>
      </c>
      <c r="T360" s="11">
        <f t="shared" si="92"/>
        <v>1428.1914479421548</v>
      </c>
    </row>
    <row r="361" spans="1:20">
      <c r="A361">
        <v>351</v>
      </c>
      <c r="B361" s="12">
        <f t="shared" si="90"/>
        <v>3819.3223637236229</v>
      </c>
      <c r="C361" s="12">
        <f t="shared" si="105"/>
        <v>125.00750151151129</v>
      </c>
      <c r="D361" s="12">
        <f t="shared" si="106"/>
        <v>3694.3148622121116</v>
      </c>
      <c r="E361" s="12">
        <f t="shared" si="107"/>
        <v>33807.935591241272</v>
      </c>
      <c r="F361" s="12">
        <f t="shared" si="93"/>
        <v>1791131.8915759155</v>
      </c>
      <c r="G361" s="12">
        <f t="shared" si="94"/>
        <v>1757323.9559846742</v>
      </c>
      <c r="H361" s="12">
        <f t="shared" si="95"/>
        <v>-826.60736796228343</v>
      </c>
      <c r="I361" s="12">
        <f t="shared" si="96"/>
        <v>-951.61486947379467</v>
      </c>
      <c r="J361" s="12">
        <f t="shared" si="91"/>
        <v>2182.8659407840569</v>
      </c>
      <c r="K361" s="12"/>
      <c r="L361" s="11">
        <f t="shared" si="97"/>
        <v>1909.6611818618114</v>
      </c>
      <c r="M361" s="11">
        <f t="shared" si="98"/>
        <v>62.503750755755647</v>
      </c>
      <c r="N361" s="11">
        <f t="shared" si="99"/>
        <v>1847.1574311060558</v>
      </c>
      <c r="O361" s="11">
        <f t="shared" si="100"/>
        <v>16903.967795620636</v>
      </c>
      <c r="P361" s="11">
        <f t="shared" si="101"/>
        <v>895565.94578795775</v>
      </c>
      <c r="Q361" s="11">
        <f t="shared" si="102"/>
        <v>878661.97799233708</v>
      </c>
      <c r="R361" s="11">
        <f t="shared" si="103"/>
        <v>-1112.7406876415355</v>
      </c>
      <c r="S361" s="11">
        <f t="shared" si="104"/>
        <v>-1175.2444383972911</v>
      </c>
      <c r="T361" s="11">
        <f t="shared" si="92"/>
        <v>1436.8229034842525</v>
      </c>
    </row>
    <row r="362" spans="1:20">
      <c r="A362">
        <v>352</v>
      </c>
      <c r="B362" s="12">
        <f t="shared" si="90"/>
        <v>3819.3223637236229</v>
      </c>
      <c r="C362" s="12">
        <f t="shared" si="105"/>
        <v>112.6931186374709</v>
      </c>
      <c r="D362" s="12">
        <f t="shared" si="106"/>
        <v>3706.629245086152</v>
      </c>
      <c r="E362" s="12">
        <f t="shared" si="107"/>
        <v>30101.306346155121</v>
      </c>
      <c r="F362" s="12">
        <f t="shared" si="93"/>
        <v>1794117.1113952089</v>
      </c>
      <c r="G362" s="12">
        <f t="shared" si="94"/>
        <v>1764015.8050490539</v>
      </c>
      <c r="H362" s="12">
        <f t="shared" si="95"/>
        <v>-827.98504690888728</v>
      </c>
      <c r="I362" s="12">
        <f t="shared" si="96"/>
        <v>-940.67816554635817</v>
      </c>
      <c r="J362" s="12">
        <f t="shared" si="91"/>
        <v>2199.0267793952571</v>
      </c>
      <c r="K362" s="12"/>
      <c r="L362" s="11">
        <f t="shared" si="97"/>
        <v>1909.6611818618114</v>
      </c>
      <c r="M362" s="11">
        <f t="shared" si="98"/>
        <v>56.346559318735451</v>
      </c>
      <c r="N362" s="11">
        <f t="shared" si="99"/>
        <v>1853.314622543076</v>
      </c>
      <c r="O362" s="11">
        <f t="shared" si="100"/>
        <v>15050.65317307756</v>
      </c>
      <c r="P362" s="11">
        <f t="shared" si="101"/>
        <v>897058.55569760443</v>
      </c>
      <c r="Q362" s="11">
        <f t="shared" si="102"/>
        <v>882007.90252452693</v>
      </c>
      <c r="R362" s="11">
        <f t="shared" si="103"/>
        <v>-1114.5952554542714</v>
      </c>
      <c r="S362" s="11">
        <f t="shared" si="104"/>
        <v>-1170.9418147730069</v>
      </c>
      <c r="T362" s="11">
        <f t="shared" si="92"/>
        <v>1445.4789726783395</v>
      </c>
    </row>
    <row r="363" spans="1:20">
      <c r="A363">
        <v>353</v>
      </c>
      <c r="B363" s="12">
        <f t="shared" si="90"/>
        <v>3819.3223637236229</v>
      </c>
      <c r="C363" s="12">
        <f t="shared" si="105"/>
        <v>100.33768782051708</v>
      </c>
      <c r="D363" s="12">
        <f t="shared" si="106"/>
        <v>3718.9846759031057</v>
      </c>
      <c r="E363" s="12">
        <f t="shared" si="107"/>
        <v>26382.321670252015</v>
      </c>
      <c r="F363" s="12">
        <f t="shared" si="93"/>
        <v>1797107.3065808676</v>
      </c>
      <c r="G363" s="12">
        <f t="shared" si="94"/>
        <v>1770724.9849106157</v>
      </c>
      <c r="H363" s="12">
        <f t="shared" si="95"/>
        <v>-829.36502198706876</v>
      </c>
      <c r="I363" s="12">
        <f t="shared" si="96"/>
        <v>-929.70270980758585</v>
      </c>
      <c r="J363" s="12">
        <f t="shared" si="91"/>
        <v>2215.235076708932</v>
      </c>
      <c r="K363" s="12"/>
      <c r="L363" s="11">
        <f t="shared" si="97"/>
        <v>1909.6611818618114</v>
      </c>
      <c r="M363" s="11">
        <f t="shared" si="98"/>
        <v>50.168843910258538</v>
      </c>
      <c r="N363" s="11">
        <f t="shared" si="99"/>
        <v>1859.4923379515528</v>
      </c>
      <c r="O363" s="11">
        <f t="shared" si="100"/>
        <v>13191.160835126007</v>
      </c>
      <c r="P363" s="11">
        <f t="shared" si="101"/>
        <v>898553.65329043381</v>
      </c>
      <c r="Q363" s="11">
        <f t="shared" si="102"/>
        <v>885362.49245530786</v>
      </c>
      <c r="R363" s="11">
        <f t="shared" si="103"/>
        <v>-1116.452914213362</v>
      </c>
      <c r="S363" s="11">
        <f t="shared" si="104"/>
        <v>-1166.6217581236206</v>
      </c>
      <c r="T363" s="11">
        <f t="shared" si="92"/>
        <v>1454.1597306401445</v>
      </c>
    </row>
    <row r="364" spans="1:20">
      <c r="A364">
        <v>354</v>
      </c>
      <c r="B364" s="12">
        <f t="shared" si="90"/>
        <v>3819.3223637236229</v>
      </c>
      <c r="C364" s="12">
        <f t="shared" si="105"/>
        <v>87.941072234173376</v>
      </c>
      <c r="D364" s="12">
        <f t="shared" si="106"/>
        <v>3731.3812914894493</v>
      </c>
      <c r="E364" s="12">
        <f t="shared" si="107"/>
        <v>22650.940378762567</v>
      </c>
      <c r="F364" s="12">
        <f t="shared" si="93"/>
        <v>1800102.4854251691</v>
      </c>
      <c r="G364" s="12">
        <f t="shared" si="94"/>
        <v>1777451.5450464066</v>
      </c>
      <c r="H364" s="12">
        <f t="shared" si="95"/>
        <v>-830.74729702371394</v>
      </c>
      <c r="I364" s="12">
        <f t="shared" si="96"/>
        <v>-918.6883692578873</v>
      </c>
      <c r="J364" s="12">
        <f t="shared" si="91"/>
        <v>2231.4909802361581</v>
      </c>
      <c r="K364" s="12"/>
      <c r="L364" s="11">
        <f t="shared" si="97"/>
        <v>1909.6611818618114</v>
      </c>
      <c r="M364" s="11">
        <f t="shared" si="98"/>
        <v>43.970536117086688</v>
      </c>
      <c r="N364" s="11">
        <f t="shared" si="99"/>
        <v>1865.6906457447246</v>
      </c>
      <c r="O364" s="11">
        <f t="shared" si="100"/>
        <v>11325.470189381283</v>
      </c>
      <c r="P364" s="11">
        <f t="shared" si="101"/>
        <v>900051.24271258456</v>
      </c>
      <c r="Q364" s="11">
        <f t="shared" si="102"/>
        <v>888725.77252320328</v>
      </c>
      <c r="R364" s="11">
        <f t="shared" si="103"/>
        <v>-1118.3136690703843</v>
      </c>
      <c r="S364" s="11">
        <f t="shared" si="104"/>
        <v>-1162.2842051874711</v>
      </c>
      <c r="T364" s="11">
        <f t="shared" si="92"/>
        <v>1462.8652527242341</v>
      </c>
    </row>
    <row r="365" spans="1:20">
      <c r="A365">
        <v>355</v>
      </c>
      <c r="B365" s="12">
        <f t="shared" si="90"/>
        <v>3819.3223637236229</v>
      </c>
      <c r="C365" s="12">
        <f t="shared" si="105"/>
        <v>75.503134595875224</v>
      </c>
      <c r="D365" s="12">
        <f t="shared" si="106"/>
        <v>3743.8192291277478</v>
      </c>
      <c r="E365" s="12">
        <f t="shared" si="107"/>
        <v>18907.121149634819</v>
      </c>
      <c r="F365" s="12">
        <f t="shared" si="93"/>
        <v>1803102.6562342111</v>
      </c>
      <c r="G365" s="12">
        <f t="shared" si="94"/>
        <v>1784195.5350845763</v>
      </c>
      <c r="H365" s="12">
        <f t="shared" si="95"/>
        <v>-832.13187585208686</v>
      </c>
      <c r="I365" s="12">
        <f t="shared" si="96"/>
        <v>-907.63501044796203</v>
      </c>
      <c r="J365" s="12">
        <f t="shared" si="91"/>
        <v>2247.794637961907</v>
      </c>
      <c r="K365" s="12"/>
      <c r="L365" s="11">
        <f t="shared" si="97"/>
        <v>1909.6611818618114</v>
      </c>
      <c r="M365" s="11">
        <f t="shared" si="98"/>
        <v>37.751567297937612</v>
      </c>
      <c r="N365" s="11">
        <f t="shared" si="99"/>
        <v>1871.9096145638739</v>
      </c>
      <c r="O365" s="11">
        <f t="shared" si="100"/>
        <v>9453.5605748174094</v>
      </c>
      <c r="P365" s="11">
        <f t="shared" si="101"/>
        <v>901551.32811710553</v>
      </c>
      <c r="Q365" s="11">
        <f t="shared" si="102"/>
        <v>892097.76754228817</v>
      </c>
      <c r="R365" s="11">
        <f t="shared" si="103"/>
        <v>-1120.1775251855017</v>
      </c>
      <c r="S365" s="11">
        <f t="shared" si="104"/>
        <v>-1157.9290924834393</v>
      </c>
      <c r="T365" s="11">
        <f t="shared" si="92"/>
        <v>1471.5956145247853</v>
      </c>
    </row>
    <row r="366" spans="1:20">
      <c r="A366">
        <v>356</v>
      </c>
      <c r="B366" s="12">
        <f t="shared" si="90"/>
        <v>3819.3223637236229</v>
      </c>
      <c r="C366" s="12">
        <f t="shared" si="105"/>
        <v>63.023737165449397</v>
      </c>
      <c r="D366" s="12">
        <f t="shared" si="106"/>
        <v>3756.2986265581735</v>
      </c>
      <c r="E366" s="12">
        <f t="shared" si="107"/>
        <v>15150.822523076646</v>
      </c>
      <c r="F366" s="12">
        <f t="shared" si="93"/>
        <v>1806107.8273279348</v>
      </c>
      <c r="G366" s="12">
        <f t="shared" si="94"/>
        <v>1790957.0048048582</v>
      </c>
      <c r="H366" s="12">
        <f t="shared" si="95"/>
        <v>-833.51876231184042</v>
      </c>
      <c r="I366" s="12">
        <f t="shared" si="96"/>
        <v>-896.54249947728977</v>
      </c>
      <c r="J366" s="12">
        <f t="shared" si="91"/>
        <v>2264.1461983465961</v>
      </c>
      <c r="K366" s="12"/>
      <c r="L366" s="11">
        <f t="shared" si="97"/>
        <v>1909.6611818618114</v>
      </c>
      <c r="M366" s="11">
        <f t="shared" si="98"/>
        <v>31.511868582724698</v>
      </c>
      <c r="N366" s="11">
        <f t="shared" si="99"/>
        <v>1878.1493132790868</v>
      </c>
      <c r="O366" s="11">
        <f t="shared" si="100"/>
        <v>7575.4112615383228</v>
      </c>
      <c r="P366" s="11">
        <f t="shared" si="101"/>
        <v>903053.9136639674</v>
      </c>
      <c r="Q366" s="11">
        <f t="shared" si="102"/>
        <v>895478.50240242912</v>
      </c>
      <c r="R366" s="11">
        <f t="shared" si="103"/>
        <v>-1122.0444877274776</v>
      </c>
      <c r="S366" s="11">
        <f t="shared" si="104"/>
        <v>-1153.5563563102023</v>
      </c>
      <c r="T366" s="11">
        <f t="shared" si="92"/>
        <v>1480.3508918763691</v>
      </c>
    </row>
    <row r="367" spans="1:20">
      <c r="A367">
        <v>357</v>
      </c>
      <c r="B367" s="12">
        <f t="shared" si="90"/>
        <v>3819.3223637236229</v>
      </c>
      <c r="C367" s="12">
        <f t="shared" si="105"/>
        <v>50.502741743588821</v>
      </c>
      <c r="D367" s="12">
        <f t="shared" si="106"/>
        <v>3768.8196219800338</v>
      </c>
      <c r="E367" s="12">
        <f t="shared" si="107"/>
        <v>11382.002901096612</v>
      </c>
      <c r="F367" s="12">
        <f t="shared" si="93"/>
        <v>1809118.0070401481</v>
      </c>
      <c r="G367" s="12">
        <f t="shared" si="94"/>
        <v>1797736.0041390515</v>
      </c>
      <c r="H367" s="12">
        <f t="shared" si="95"/>
        <v>-834.90796024902681</v>
      </c>
      <c r="I367" s="12">
        <f t="shared" si="96"/>
        <v>-885.4107019926156</v>
      </c>
      <c r="J367" s="12">
        <f t="shared" si="91"/>
        <v>2280.5458103276433</v>
      </c>
      <c r="K367" s="12"/>
      <c r="L367" s="11">
        <f t="shared" si="97"/>
        <v>1909.6611818618114</v>
      </c>
      <c r="M367" s="11">
        <f t="shared" si="98"/>
        <v>25.251370871794411</v>
      </c>
      <c r="N367" s="11">
        <f t="shared" si="99"/>
        <v>1884.4098109900169</v>
      </c>
      <c r="O367" s="11">
        <f t="shared" si="100"/>
        <v>5691.0014505483059</v>
      </c>
      <c r="P367" s="11">
        <f t="shared" si="101"/>
        <v>904559.00352007407</v>
      </c>
      <c r="Q367" s="11">
        <f t="shared" si="102"/>
        <v>898868.00206952577</v>
      </c>
      <c r="R367" s="11">
        <f t="shared" si="103"/>
        <v>-1123.9145618736902</v>
      </c>
      <c r="S367" s="11">
        <f t="shared" si="104"/>
        <v>-1149.1659327454847</v>
      </c>
      <c r="T367" s="11">
        <f t="shared" si="92"/>
        <v>1489.1311608547314</v>
      </c>
    </row>
    <row r="368" spans="1:20">
      <c r="A368">
        <v>358</v>
      </c>
      <c r="B368" s="12">
        <f t="shared" si="90"/>
        <v>3819.3223637236229</v>
      </c>
      <c r="C368" s="12">
        <f t="shared" si="105"/>
        <v>37.940009670322041</v>
      </c>
      <c r="D368" s="12">
        <f t="shared" si="106"/>
        <v>3781.3823540533008</v>
      </c>
      <c r="E368" s="12">
        <f t="shared" si="107"/>
        <v>7600.6205470433106</v>
      </c>
      <c r="F368" s="12">
        <f t="shared" si="93"/>
        <v>1812133.2037185484</v>
      </c>
      <c r="G368" s="12">
        <f t="shared" si="94"/>
        <v>1804532.583171505</v>
      </c>
      <c r="H368" s="12">
        <f t="shared" si="95"/>
        <v>-836.29947351610861</v>
      </c>
      <c r="I368" s="12">
        <f t="shared" si="96"/>
        <v>-874.23948318643068</v>
      </c>
      <c r="J368" s="12">
        <f t="shared" si="91"/>
        <v>2296.9936233210283</v>
      </c>
      <c r="K368" s="12"/>
      <c r="L368" s="11">
        <f t="shared" si="97"/>
        <v>1909.6611818618114</v>
      </c>
      <c r="M368" s="11">
        <f t="shared" si="98"/>
        <v>18.970004835161021</v>
      </c>
      <c r="N368" s="11">
        <f t="shared" si="99"/>
        <v>1890.6911770266504</v>
      </c>
      <c r="O368" s="11">
        <f t="shared" si="100"/>
        <v>3800.3102735216553</v>
      </c>
      <c r="P368" s="11">
        <f t="shared" si="101"/>
        <v>906066.6018592742</v>
      </c>
      <c r="Q368" s="11">
        <f t="shared" si="102"/>
        <v>902266.29158575251</v>
      </c>
      <c r="R368" s="11">
        <f t="shared" si="103"/>
        <v>-1125.7877528101465</v>
      </c>
      <c r="S368" s="11">
        <f t="shared" si="104"/>
        <v>-1144.7577576453075</v>
      </c>
      <c r="T368" s="11">
        <f t="shared" si="92"/>
        <v>1497.9364977775756</v>
      </c>
    </row>
    <row r="369" spans="1:20">
      <c r="A369">
        <v>359</v>
      </c>
      <c r="B369" s="12">
        <f t="shared" si="90"/>
        <v>3819.3223637236229</v>
      </c>
      <c r="C369" s="12">
        <f t="shared" si="105"/>
        <v>25.335401823477699</v>
      </c>
      <c r="D369" s="12">
        <f t="shared" si="106"/>
        <v>3793.9869619001452</v>
      </c>
      <c r="E369" s="12">
        <f t="shared" si="107"/>
        <v>3806.6335851431654</v>
      </c>
      <c r="F369" s="12">
        <f t="shared" si="93"/>
        <v>1815153.425724746</v>
      </c>
      <c r="G369" s="12">
        <f t="shared" si="94"/>
        <v>1811346.7921396028</v>
      </c>
      <c r="H369" s="12">
        <f t="shared" si="95"/>
        <v>-837.69330597196881</v>
      </c>
      <c r="I369" s="12">
        <f t="shared" si="96"/>
        <v>-863.02870779544651</v>
      </c>
      <c r="J369" s="12">
        <f t="shared" si="91"/>
        <v>2313.4897872228585</v>
      </c>
      <c r="K369" s="12"/>
      <c r="L369" s="11">
        <f t="shared" si="97"/>
        <v>1909.6611818618114</v>
      </c>
      <c r="M369" s="11">
        <f t="shared" si="98"/>
        <v>12.66770091173885</v>
      </c>
      <c r="N369" s="11">
        <f t="shared" si="99"/>
        <v>1896.9934809500726</v>
      </c>
      <c r="O369" s="11">
        <f t="shared" si="100"/>
        <v>1903.3167925715827</v>
      </c>
      <c r="P369" s="11">
        <f t="shared" si="101"/>
        <v>907576.71286237298</v>
      </c>
      <c r="Q369" s="11">
        <f t="shared" si="102"/>
        <v>905673.39606980141</v>
      </c>
      <c r="R369" s="11">
        <f t="shared" si="103"/>
        <v>-1127.6640657314967</v>
      </c>
      <c r="S369" s="11">
        <f t="shared" si="104"/>
        <v>-1140.3317666432356</v>
      </c>
      <c r="T369" s="11">
        <f t="shared" si="92"/>
        <v>1506.7669792053528</v>
      </c>
    </row>
    <row r="370" spans="1:20">
      <c r="A370">
        <v>360</v>
      </c>
      <c r="B370" s="12">
        <f t="shared" si="90"/>
        <v>3819.3223637236229</v>
      </c>
      <c r="C370" s="12">
        <f t="shared" si="105"/>
        <v>12.688778617143884</v>
      </c>
      <c r="D370" s="12">
        <f t="shared" si="106"/>
        <v>3806.6335851064791</v>
      </c>
      <c r="E370" s="12">
        <f t="shared" si="107"/>
        <v>3.6686287785414606E-8</v>
      </c>
      <c r="F370" s="12">
        <f t="shared" si="93"/>
        <v>1818178.6814342872</v>
      </c>
      <c r="G370" s="12">
        <f t="shared" si="94"/>
        <v>1818178.6814342504</v>
      </c>
      <c r="H370" s="12">
        <f t="shared" si="95"/>
        <v>-839.08946148192217</v>
      </c>
      <c r="I370" s="12">
        <f t="shared" si="96"/>
        <v>-851.77824009906601</v>
      </c>
      <c r="J370" s="12">
        <f t="shared" si="91"/>
        <v>2330.0344524109364</v>
      </c>
      <c r="K370" s="12"/>
      <c r="L370" s="11">
        <f t="shared" si="97"/>
        <v>1909.6611818618114</v>
      </c>
      <c r="M370" s="11">
        <f t="shared" si="98"/>
        <v>6.3443893085719418</v>
      </c>
      <c r="N370" s="11">
        <f t="shared" si="99"/>
        <v>1903.3167925532396</v>
      </c>
      <c r="O370" s="11">
        <f t="shared" si="100"/>
        <v>1.8343143892707303E-8</v>
      </c>
      <c r="P370" s="11">
        <f t="shared" si="101"/>
        <v>909089.34071714361</v>
      </c>
      <c r="Q370" s="11">
        <f t="shared" si="102"/>
        <v>909089.34071712522</v>
      </c>
      <c r="R370" s="11">
        <f t="shared" si="103"/>
        <v>-1129.5435058410492</v>
      </c>
      <c r="S370" s="11">
        <f t="shared" si="104"/>
        <v>-1135.887895149621</v>
      </c>
      <c r="T370" s="11">
        <f t="shared" si="92"/>
        <v>1515.6226819420478</v>
      </c>
    </row>
  </sheetData>
  <mergeCells count="2">
    <mergeCell ref="B9:J9"/>
    <mergeCell ref="L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Kennedy</cp:lastModifiedBy>
  <cp:revision/>
  <dcterms:created xsi:type="dcterms:W3CDTF">2021-12-05T21:57:23Z</dcterms:created>
  <dcterms:modified xsi:type="dcterms:W3CDTF">2021-12-06T01:09:25Z</dcterms:modified>
  <cp:category/>
  <cp:contentStatus/>
</cp:coreProperties>
</file>
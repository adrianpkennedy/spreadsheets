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05"/>
  <workbookPr defaultThemeVersion="166925"/>
  <xr:revisionPtr revIDLastSave="288" documentId="11_E60897F41BE170836B02CE998F75CCDC64E183C8" xr6:coauthVersionLast="47" xr6:coauthVersionMax="47" xr10:uidLastSave="{0A6C2B54-2DC2-4EE5-90E7-F09DBC0A5CE5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3" i="1"/>
  <c r="F2" i="1"/>
  <c r="F3" i="1" s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B16" i="1"/>
  <c r="B11" i="1"/>
  <c r="B15" i="1" s="1"/>
  <c r="E2" i="1" l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B12" i="1"/>
  <c r="B13" i="1" s="1"/>
  <c r="B14" i="1"/>
  <c r="B18" i="1" s="1"/>
  <c r="G2" i="1" s="1"/>
  <c r="G3" i="1" s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</calcChain>
</file>

<file path=xl/sharedStrings.xml><?xml version="1.0" encoding="utf-8"?>
<sst xmlns="http://schemas.openxmlformats.org/spreadsheetml/2006/main" count="22" uniqueCount="21">
  <si>
    <t>Change These Variables</t>
  </si>
  <si>
    <t>Month</t>
  </si>
  <si>
    <t>Kiwisaver</t>
  </si>
  <si>
    <t>Student Loan</t>
  </si>
  <si>
    <t>Savings</t>
  </si>
  <si>
    <t>Primary Income (year)</t>
  </si>
  <si>
    <t>Seconary Income (year)</t>
  </si>
  <si>
    <t>Initial Savings</t>
  </si>
  <si>
    <t>Kiwisaver (Employee)</t>
  </si>
  <si>
    <t>Initial Kiwisaver</t>
  </si>
  <si>
    <t>Living Expenses (month)</t>
  </si>
  <si>
    <t>These Variables Update Automatically</t>
  </si>
  <si>
    <t>Total Income (year)</t>
  </si>
  <si>
    <t>Tax Bracket</t>
  </si>
  <si>
    <t>Tax Paid (year)</t>
  </si>
  <si>
    <t>After Tax Pay (year)</t>
  </si>
  <si>
    <t xml:space="preserve">ACC </t>
  </si>
  <si>
    <t>Kiwisaver (Employer)</t>
  </si>
  <si>
    <t>Student Loan Repayment (Month)</t>
  </si>
  <si>
    <t>Take Home Pay (Month)</t>
  </si>
  <si>
    <t>Income Tax Rates (NZ)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</si>
</sst>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_);[Red]\(0.0\)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9" fontId="0" fillId="2" borderId="1" xfId="0" applyNumberFormat="1" applyFill="1" applyBorder="1"/>
    <xf numFmtId="9" fontId="0" fillId="0" borderId="1" xfId="0" applyNumberFormat="1" applyBorder="1"/>
    <xf numFmtId="0" fontId="0" fillId="4" borderId="1" xfId="0" applyFill="1" applyBorder="1"/>
    <xf numFmtId="0" fontId="1" fillId="3" borderId="1" xfId="0" applyFont="1" applyFill="1" applyBorder="1" applyAlignment="1">
      <alignment horizontal="center"/>
    </xf>
    <xf numFmtId="10" fontId="0" fillId="0" borderId="1" xfId="0" applyNumberFormat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/>
    </xf>
    <xf numFmtId="176" fontId="0" fillId="0" borderId="1" xfId="0" applyNumberFormat="1" applyBorder="1"/>
    <xf numFmtId="0" fontId="1" fillId="0" borderId="0" xfId="0" applyFont="1"/>
    <xf numFmtId="0" fontId="0" fillId="5" borderId="3" xfId="0" applyFill="1" applyBorder="1"/>
    <xf numFmtId="10" fontId="0" fillId="0" borderId="3" xfId="0" applyNumberFormat="1" applyBorder="1"/>
    <xf numFmtId="0" fontId="0" fillId="5" borderId="4" xfId="0" applyFill="1" applyBorder="1"/>
    <xf numFmtId="9" fontId="0" fillId="0" borderId="4" xfId="0" applyNumberFormat="1" applyBorder="1"/>
    <xf numFmtId="177" fontId="0" fillId="0" borderId="0" xfId="0" applyNumberFormat="1"/>
    <xf numFmtId="176" fontId="0" fillId="0" borderId="0" xfId="0" applyNumberFormat="1"/>
    <xf numFmtId="176" fontId="0" fillId="0" borderId="4" xfId="0" applyNumberFormat="1" applyBorder="1"/>
    <xf numFmtId="0" fontId="0" fillId="5" borderId="5" xfId="0" applyFill="1" applyBorder="1"/>
    <xf numFmtId="177" fontId="0" fillId="0" borderId="1" xfId="0" applyNumberFormat="1" applyBorder="1"/>
    <xf numFmtId="176" fontId="0" fillId="0" borderId="3" xfId="0" applyNumberFormat="1" applyBorder="1"/>
    <xf numFmtId="177" fontId="0" fillId="0" borderId="3" xfId="0" applyNumberFormat="1" applyBorder="1"/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workbookViewId="0">
      <selection activeCell="B5" sqref="B5"/>
    </sheetView>
  </sheetViews>
  <sheetFormatPr defaultRowHeight="15"/>
  <cols>
    <col min="1" max="1" width="34.28515625" bestFit="1" customWidth="1"/>
    <col min="2" max="2" width="9.140625" customWidth="1"/>
    <col min="4" max="4" width="9.140625" customWidth="1"/>
    <col min="5" max="5" width="10.140625" bestFit="1" customWidth="1"/>
    <col min="6" max="6" width="13.85546875" bestFit="1" customWidth="1"/>
    <col min="7" max="7" width="9.140625" customWidth="1"/>
  </cols>
  <sheetData>
    <row r="1" spans="1:7">
      <c r="A1" s="23" t="s">
        <v>0</v>
      </c>
      <c r="B1" s="23"/>
      <c r="D1" s="5" t="s">
        <v>1</v>
      </c>
      <c r="E1" s="5" t="s">
        <v>2</v>
      </c>
      <c r="F1" s="5" t="s">
        <v>3</v>
      </c>
      <c r="G1" s="5" t="s">
        <v>4</v>
      </c>
    </row>
    <row r="2" spans="1:7">
      <c r="A2" s="8" t="s">
        <v>5</v>
      </c>
      <c r="B2" s="1">
        <v>58000</v>
      </c>
      <c r="D2" s="12">
        <v>1</v>
      </c>
      <c r="E2" s="21">
        <f>B7+($B$6+$B$16)*$B$11/12</f>
        <v>351.87999999999994</v>
      </c>
      <c r="F2" s="22">
        <f>$B$4-$B$17</f>
        <v>31394.32</v>
      </c>
      <c r="G2" s="22">
        <f>B5+$B$18-$B$8</f>
        <v>2622.8544666666662</v>
      </c>
    </row>
    <row r="3" spans="1:7">
      <c r="A3" s="8" t="s">
        <v>6</v>
      </c>
      <c r="B3" s="1">
        <f>23.8*52*10</f>
        <v>12376.000000000002</v>
      </c>
      <c r="D3" s="8">
        <v>2</v>
      </c>
      <c r="E3" s="10">
        <f>E2+($B$6+$B$16)*$B$11/12</f>
        <v>703.75999999999988</v>
      </c>
      <c r="F3" s="20">
        <f>F2-$B$17</f>
        <v>30788.639999999999</v>
      </c>
      <c r="G3" s="20">
        <f>G2+$B$18-$B$8</f>
        <v>5245.7089333333324</v>
      </c>
    </row>
    <row r="4" spans="1:7">
      <c r="A4" s="8" t="s">
        <v>3</v>
      </c>
      <c r="B4" s="1">
        <v>32000</v>
      </c>
      <c r="D4" s="8">
        <v>3</v>
      </c>
      <c r="E4" s="10">
        <f>E3+($B$6+$B$16)*$B$11/12</f>
        <v>1055.6399999999999</v>
      </c>
      <c r="F4" s="20">
        <f t="shared" ref="F4:F13" si="0">F3-$B$17</f>
        <v>30182.959999999999</v>
      </c>
      <c r="G4" s="20">
        <f t="shared" ref="G4:G13" si="1">G3+$B$18-$B$8</f>
        <v>7868.5633999999991</v>
      </c>
    </row>
    <row r="5" spans="1:7">
      <c r="A5" s="8" t="s">
        <v>7</v>
      </c>
      <c r="B5" s="1">
        <v>0</v>
      </c>
      <c r="D5" s="8">
        <v>4</v>
      </c>
      <c r="E5" s="10">
        <f t="shared" ref="E5:E13" si="2">E4+($B$6+$B$16)*$B$11/12</f>
        <v>1407.5199999999998</v>
      </c>
      <c r="F5" s="20">
        <f t="shared" si="0"/>
        <v>29577.279999999999</v>
      </c>
      <c r="G5" s="20">
        <f t="shared" si="1"/>
        <v>10491.417866666665</v>
      </c>
    </row>
    <row r="6" spans="1:7">
      <c r="A6" s="8" t="s">
        <v>8</v>
      </c>
      <c r="B6" s="2">
        <v>0.03</v>
      </c>
      <c r="D6" s="8">
        <v>5</v>
      </c>
      <c r="E6" s="10">
        <f t="shared" si="2"/>
        <v>1759.3999999999996</v>
      </c>
      <c r="F6" s="20">
        <f t="shared" si="0"/>
        <v>28971.599999999999</v>
      </c>
      <c r="G6" s="20">
        <f t="shared" si="1"/>
        <v>13114.272333333331</v>
      </c>
    </row>
    <row r="7" spans="1:7">
      <c r="A7" s="8" t="s">
        <v>9</v>
      </c>
      <c r="B7" s="1">
        <v>0</v>
      </c>
      <c r="D7" s="8">
        <v>6</v>
      </c>
      <c r="E7" s="10">
        <f t="shared" si="2"/>
        <v>2111.2799999999997</v>
      </c>
      <c r="F7" s="20">
        <f t="shared" si="0"/>
        <v>28365.919999999998</v>
      </c>
      <c r="G7" s="20">
        <f t="shared" si="1"/>
        <v>15737.126799999998</v>
      </c>
    </row>
    <row r="8" spans="1:7">
      <c r="A8" s="8" t="s">
        <v>10</v>
      </c>
      <c r="B8" s="4">
        <v>1200</v>
      </c>
      <c r="D8" s="8">
        <v>7</v>
      </c>
      <c r="E8" s="10">
        <f t="shared" si="2"/>
        <v>2463.16</v>
      </c>
      <c r="F8" s="20">
        <f t="shared" si="0"/>
        <v>27760.239999999998</v>
      </c>
      <c r="G8" s="20">
        <f t="shared" si="1"/>
        <v>18359.981266666666</v>
      </c>
    </row>
    <row r="9" spans="1:7">
      <c r="D9" s="8">
        <v>8</v>
      </c>
      <c r="E9" s="10">
        <f t="shared" si="2"/>
        <v>2815.04</v>
      </c>
      <c r="F9" s="20">
        <f t="shared" si="0"/>
        <v>27154.559999999998</v>
      </c>
      <c r="G9" s="20">
        <f t="shared" si="1"/>
        <v>20982.835733333333</v>
      </c>
    </row>
    <row r="10" spans="1:7">
      <c r="A10" s="24" t="s">
        <v>11</v>
      </c>
      <c r="B10" s="24"/>
      <c r="D10" s="8">
        <v>9</v>
      </c>
      <c r="E10" s="10">
        <f t="shared" si="2"/>
        <v>3166.92</v>
      </c>
      <c r="F10" s="20">
        <f t="shared" si="0"/>
        <v>26548.879999999997</v>
      </c>
      <c r="G10" s="20">
        <f t="shared" si="1"/>
        <v>23605.690200000001</v>
      </c>
    </row>
    <row r="11" spans="1:7">
      <c r="A11" s="9" t="s">
        <v>12</v>
      </c>
      <c r="B11" s="7">
        <f>B2+B3</f>
        <v>70376</v>
      </c>
      <c r="D11" s="8">
        <v>10</v>
      </c>
      <c r="E11" s="10">
        <f t="shared" si="2"/>
        <v>3518.8</v>
      </c>
      <c r="F11" s="20">
        <f t="shared" si="0"/>
        <v>25943.199999999997</v>
      </c>
      <c r="G11" s="20">
        <f t="shared" si="1"/>
        <v>26228.544666666668</v>
      </c>
    </row>
    <row r="12" spans="1:7">
      <c r="A12" s="8" t="s">
        <v>13</v>
      </c>
      <c r="B12" s="6">
        <f>IF(B11&gt;A25,B25,  IF(B11&gt;A24,B24,  IF(B11&gt;A23,B23,  IF(B11&gt;A22,B22,0%))))</f>
        <v>0.33</v>
      </c>
      <c r="D12" s="8">
        <v>11</v>
      </c>
      <c r="E12" s="10">
        <f t="shared" si="2"/>
        <v>3870.6800000000003</v>
      </c>
      <c r="F12" s="20">
        <f t="shared" si="0"/>
        <v>25337.519999999997</v>
      </c>
      <c r="G12" s="20">
        <f t="shared" si="1"/>
        <v>28851.399133333336</v>
      </c>
    </row>
    <row r="13" spans="1:7">
      <c r="A13" s="8" t="s">
        <v>14</v>
      </c>
      <c r="B13" s="10">
        <f>IF(B12=B25, B21*A22+B22*(A23-A22)+B23*(A24-A23)+B24*(A25-A24)+B25*(B11-A25),  IF( B12=B24, B21*A22+B22*(A23-A22)+B23*(A24-A23)+B24*(B11-A24), IF(B12=B23,B21*A22+B22*( A23-A22)+B23*(B11-A23),  IF( B12=B22,B21*A22+B22*(B11-A22), B21*B11))))</f>
        <v>14144.08</v>
      </c>
      <c r="D13" s="8">
        <v>12</v>
      </c>
      <c r="E13" s="10">
        <f t="shared" si="2"/>
        <v>4222.5600000000004</v>
      </c>
      <c r="F13" s="20">
        <f t="shared" si="0"/>
        <v>24731.839999999997</v>
      </c>
      <c r="G13" s="20">
        <f t="shared" si="1"/>
        <v>31474.253600000004</v>
      </c>
    </row>
    <row r="14" spans="1:7">
      <c r="A14" s="8" t="s">
        <v>15</v>
      </c>
      <c r="B14" s="10">
        <f>B11-B13</f>
        <v>56231.92</v>
      </c>
      <c r="D14" s="8">
        <v>13</v>
      </c>
      <c r="E14" s="10">
        <f t="shared" ref="E14:E38" si="3">E13+($B$6+$B$16)*$B$11/12</f>
        <v>4574.4400000000005</v>
      </c>
      <c r="F14" s="20">
        <f t="shared" ref="F14:F38" si="4">F13-$B$17</f>
        <v>24126.159999999996</v>
      </c>
      <c r="G14" s="20">
        <f t="shared" ref="G14:G38" si="5">G13+$B$18-$B$8</f>
        <v>34097.108066666668</v>
      </c>
    </row>
    <row r="15" spans="1:7">
      <c r="A15" s="8" t="s">
        <v>16</v>
      </c>
      <c r="B15" s="10">
        <f>B11/100*1.39</f>
        <v>978.2263999999999</v>
      </c>
      <c r="D15" s="8">
        <v>14</v>
      </c>
      <c r="E15" s="10">
        <f t="shared" si="3"/>
        <v>4926.3200000000006</v>
      </c>
      <c r="F15" s="20">
        <f t="shared" si="4"/>
        <v>23520.479999999996</v>
      </c>
      <c r="G15" s="20">
        <f t="shared" si="5"/>
        <v>36719.962533333332</v>
      </c>
    </row>
    <row r="16" spans="1:7">
      <c r="A16" s="14" t="s">
        <v>17</v>
      </c>
      <c r="B16" s="15">
        <f>MIN(3%,B6)</f>
        <v>0.03</v>
      </c>
      <c r="D16" s="8">
        <v>15</v>
      </c>
      <c r="E16" s="10">
        <f t="shared" si="3"/>
        <v>5278.2000000000007</v>
      </c>
      <c r="F16" s="20">
        <f t="shared" si="4"/>
        <v>22914.799999999996</v>
      </c>
      <c r="G16" s="20">
        <f t="shared" si="5"/>
        <v>39342.816999999995</v>
      </c>
    </row>
    <row r="17" spans="1:7">
      <c r="A17" s="14" t="s">
        <v>18</v>
      </c>
      <c r="B17" s="18">
        <f>IF(B4&gt;0,0.12*($B$2/12-1690) + 0.12*B3/26*4,0)</f>
        <v>605.67999999999995</v>
      </c>
      <c r="D17" s="8">
        <v>16</v>
      </c>
      <c r="E17" s="10">
        <f t="shared" si="3"/>
        <v>5630.0800000000008</v>
      </c>
      <c r="F17" s="20">
        <f t="shared" si="4"/>
        <v>22309.119999999995</v>
      </c>
      <c r="G17" s="20">
        <f t="shared" si="5"/>
        <v>41965.671466666659</v>
      </c>
    </row>
    <row r="18" spans="1:7">
      <c r="A18" s="19" t="s">
        <v>19</v>
      </c>
      <c r="B18" s="10">
        <f>B14/12-B17-B15/12-B16*B11/12</f>
        <v>3822.8544666666662</v>
      </c>
      <c r="D18" s="8">
        <v>17</v>
      </c>
      <c r="E18" s="10">
        <f t="shared" si="3"/>
        <v>5981.9600000000009</v>
      </c>
      <c r="F18" s="20">
        <f t="shared" si="4"/>
        <v>21703.439999999995</v>
      </c>
      <c r="G18" s="20">
        <f t="shared" si="5"/>
        <v>44588.525933333323</v>
      </c>
    </row>
    <row r="19" spans="1:7">
      <c r="D19" s="8">
        <v>18</v>
      </c>
      <c r="E19" s="10">
        <f t="shared" si="3"/>
        <v>6333.8400000000011</v>
      </c>
      <c r="F19" s="20">
        <f t="shared" si="4"/>
        <v>21097.759999999995</v>
      </c>
      <c r="G19" s="20">
        <f t="shared" si="5"/>
        <v>47211.380399999987</v>
      </c>
    </row>
    <row r="20" spans="1:7">
      <c r="A20" s="24" t="s">
        <v>20</v>
      </c>
      <c r="B20" s="24"/>
      <c r="C20" s="11"/>
      <c r="D20" s="8">
        <v>19</v>
      </c>
      <c r="E20" s="10">
        <f t="shared" si="3"/>
        <v>6685.7200000000012</v>
      </c>
      <c r="F20" s="20">
        <f t="shared" si="4"/>
        <v>20492.079999999994</v>
      </c>
      <c r="G20" s="20">
        <f t="shared" si="5"/>
        <v>49834.234866666651</v>
      </c>
    </row>
    <row r="21" spans="1:7">
      <c r="A21" s="12">
        <v>0</v>
      </c>
      <c r="B21" s="13">
        <v>0.105</v>
      </c>
      <c r="D21" s="8">
        <v>20</v>
      </c>
      <c r="E21" s="10">
        <f t="shared" si="3"/>
        <v>7037.6000000000013</v>
      </c>
      <c r="F21" s="20">
        <f t="shared" si="4"/>
        <v>19886.399999999994</v>
      </c>
      <c r="G21" s="20">
        <f t="shared" si="5"/>
        <v>52457.089333333315</v>
      </c>
    </row>
    <row r="22" spans="1:7">
      <c r="A22" s="8">
        <v>14000</v>
      </c>
      <c r="B22" s="6">
        <v>0.17499999999999999</v>
      </c>
      <c r="D22" s="8">
        <v>21</v>
      </c>
      <c r="E22" s="10">
        <f t="shared" si="3"/>
        <v>7389.4800000000014</v>
      </c>
      <c r="F22" s="20">
        <f t="shared" si="4"/>
        <v>19280.719999999994</v>
      </c>
      <c r="G22" s="20">
        <f t="shared" si="5"/>
        <v>55079.943799999979</v>
      </c>
    </row>
    <row r="23" spans="1:7">
      <c r="A23" s="8">
        <v>48000</v>
      </c>
      <c r="B23" s="3">
        <v>0.3</v>
      </c>
      <c r="D23" s="8">
        <v>22</v>
      </c>
      <c r="E23" s="10">
        <f t="shared" si="3"/>
        <v>7741.3600000000015</v>
      </c>
      <c r="F23" s="20">
        <f t="shared" si="4"/>
        <v>18675.039999999994</v>
      </c>
      <c r="G23" s="20">
        <f t="shared" si="5"/>
        <v>57702.798266666643</v>
      </c>
    </row>
    <row r="24" spans="1:7">
      <c r="A24" s="8">
        <v>70000</v>
      </c>
      <c r="B24" s="3">
        <v>0.33</v>
      </c>
      <c r="D24" s="8">
        <v>23</v>
      </c>
      <c r="E24" s="10">
        <f t="shared" si="3"/>
        <v>8093.2400000000016</v>
      </c>
      <c r="F24" s="20">
        <f t="shared" si="4"/>
        <v>18069.359999999993</v>
      </c>
      <c r="G24" s="20">
        <f t="shared" si="5"/>
        <v>60325.652733333307</v>
      </c>
    </row>
    <row r="25" spans="1:7">
      <c r="A25" s="8">
        <v>180000</v>
      </c>
      <c r="B25" s="3">
        <v>0.39</v>
      </c>
      <c r="D25" s="8">
        <v>24</v>
      </c>
      <c r="E25" s="10">
        <f t="shared" si="3"/>
        <v>8445.1200000000008</v>
      </c>
      <c r="F25" s="20">
        <f t="shared" si="4"/>
        <v>17463.679999999993</v>
      </c>
      <c r="G25" s="20">
        <f t="shared" si="5"/>
        <v>62948.507199999971</v>
      </c>
    </row>
    <row r="26" spans="1:7">
      <c r="D26" s="8">
        <v>25</v>
      </c>
      <c r="E26" s="10">
        <f t="shared" si="3"/>
        <v>8797</v>
      </c>
      <c r="F26" s="20">
        <f t="shared" si="4"/>
        <v>16857.999999999993</v>
      </c>
      <c r="G26" s="20">
        <f t="shared" si="5"/>
        <v>65571.361666666635</v>
      </c>
    </row>
    <row r="27" spans="1:7">
      <c r="D27" s="8">
        <v>26</v>
      </c>
      <c r="E27" s="10">
        <f t="shared" si="3"/>
        <v>9148.8799999999992</v>
      </c>
      <c r="F27" s="20">
        <f t="shared" si="4"/>
        <v>16252.319999999992</v>
      </c>
      <c r="G27" s="20">
        <f t="shared" si="5"/>
        <v>68194.216133333306</v>
      </c>
    </row>
    <row r="28" spans="1:7">
      <c r="D28" s="8">
        <v>27</v>
      </c>
      <c r="E28" s="10">
        <f t="shared" si="3"/>
        <v>9500.7599999999984</v>
      </c>
      <c r="F28" s="20">
        <f t="shared" si="4"/>
        <v>15646.639999999992</v>
      </c>
      <c r="G28" s="20">
        <f t="shared" si="5"/>
        <v>70817.070599999977</v>
      </c>
    </row>
    <row r="29" spans="1:7">
      <c r="D29" s="8">
        <v>28</v>
      </c>
      <c r="E29" s="10">
        <f t="shared" si="3"/>
        <v>9852.6399999999976</v>
      </c>
      <c r="F29" s="20">
        <f t="shared" si="4"/>
        <v>15040.959999999992</v>
      </c>
      <c r="G29" s="20">
        <f t="shared" si="5"/>
        <v>73439.925066666648</v>
      </c>
    </row>
    <row r="30" spans="1:7">
      <c r="D30" s="8">
        <v>29</v>
      </c>
      <c r="E30" s="10">
        <f t="shared" si="3"/>
        <v>10204.519999999997</v>
      </c>
      <c r="F30" s="20">
        <f t="shared" si="4"/>
        <v>14435.279999999992</v>
      </c>
      <c r="G30" s="20">
        <f t="shared" si="5"/>
        <v>76062.77953333332</v>
      </c>
    </row>
    <row r="31" spans="1:7">
      <c r="D31" s="8">
        <v>30</v>
      </c>
      <c r="E31" s="10">
        <f t="shared" si="3"/>
        <v>10556.399999999996</v>
      </c>
      <c r="F31" s="20">
        <f t="shared" si="4"/>
        <v>13829.599999999991</v>
      </c>
      <c r="G31" s="20">
        <f t="shared" si="5"/>
        <v>78685.633999999991</v>
      </c>
    </row>
    <row r="32" spans="1:7">
      <c r="D32" s="8">
        <v>31</v>
      </c>
      <c r="E32" s="10">
        <f t="shared" si="3"/>
        <v>10908.279999999995</v>
      </c>
      <c r="F32" s="20">
        <f t="shared" si="4"/>
        <v>13223.919999999991</v>
      </c>
      <c r="G32" s="20">
        <f t="shared" si="5"/>
        <v>81308.488466666662</v>
      </c>
    </row>
    <row r="33" spans="4:7">
      <c r="D33" s="8">
        <v>32</v>
      </c>
      <c r="E33" s="10">
        <f t="shared" si="3"/>
        <v>11260.159999999994</v>
      </c>
      <c r="F33" s="20">
        <f t="shared" si="4"/>
        <v>12618.239999999991</v>
      </c>
      <c r="G33" s="20">
        <f t="shared" si="5"/>
        <v>83931.342933333333</v>
      </c>
    </row>
    <row r="34" spans="4:7">
      <c r="D34" s="8">
        <v>33</v>
      </c>
      <c r="E34" s="10">
        <f t="shared" si="3"/>
        <v>11612.039999999994</v>
      </c>
      <c r="F34" s="20">
        <f t="shared" si="4"/>
        <v>12012.55999999999</v>
      </c>
      <c r="G34" s="20">
        <f t="shared" si="5"/>
        <v>86554.197400000005</v>
      </c>
    </row>
    <row r="35" spans="4:7">
      <c r="D35" s="8">
        <v>34</v>
      </c>
      <c r="E35" s="10">
        <f t="shared" si="3"/>
        <v>11963.919999999993</v>
      </c>
      <c r="F35" s="20">
        <f t="shared" si="4"/>
        <v>11406.87999999999</v>
      </c>
      <c r="G35" s="20">
        <f t="shared" si="5"/>
        <v>89177.051866666676</v>
      </c>
    </row>
    <row r="36" spans="4:7">
      <c r="D36" s="8">
        <v>35</v>
      </c>
      <c r="E36" s="10">
        <f t="shared" si="3"/>
        <v>12315.799999999992</v>
      </c>
      <c r="F36" s="20">
        <f t="shared" si="4"/>
        <v>10801.19999999999</v>
      </c>
      <c r="G36" s="20">
        <f t="shared" si="5"/>
        <v>91799.906333333347</v>
      </c>
    </row>
    <row r="37" spans="4:7">
      <c r="D37" s="8">
        <v>36</v>
      </c>
      <c r="E37" s="10">
        <f t="shared" si="3"/>
        <v>12667.679999999991</v>
      </c>
      <c r="F37" s="20">
        <f t="shared" si="4"/>
        <v>10195.51999999999</v>
      </c>
      <c r="G37" s="20">
        <f t="shared" si="5"/>
        <v>94422.760800000018</v>
      </c>
    </row>
    <row r="38" spans="4:7">
      <c r="E38" s="17"/>
      <c r="F38" s="16"/>
      <c r="G38" s="16"/>
    </row>
  </sheetData>
  <mergeCells count="3">
    <mergeCell ref="A1:B1"/>
    <mergeCell ref="A10:B10"/>
    <mergeCell ref="A20:B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 Kennedy</cp:lastModifiedBy>
  <cp:revision/>
  <dcterms:created xsi:type="dcterms:W3CDTF">2021-12-10T00:55:28Z</dcterms:created>
  <dcterms:modified xsi:type="dcterms:W3CDTF">2021-12-10T03:15:04Z</dcterms:modified>
  <cp:category/>
  <cp:contentStatus/>
</cp:coreProperties>
</file>
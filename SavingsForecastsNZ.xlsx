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05"/>
  <workbookPr defaultThemeVersion="166925"/>
  <xr:revisionPtr revIDLastSave="274" documentId="11_E60897F41BE170836B02CE998F75CCDC64E183C8" xr6:coauthVersionLast="47" xr6:coauthVersionMax="47" xr10:uidLastSave="{AA96603C-2A0A-4022-8D1A-3203E29280E4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7" i="1" l="1"/>
  <c r="F2" i="1" s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B16" i="1"/>
  <c r="B11" i="1"/>
  <c r="B15" i="1" s="1"/>
  <c r="E2" i="1" l="1"/>
  <c r="E3" i="1" s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B12" i="1"/>
  <c r="B13" i="1" s="1"/>
  <c r="B14" i="1"/>
  <c r="B18" i="1" s="1"/>
  <c r="G2" i="1" s="1"/>
  <c r="G3" i="1" s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</calcChain>
</file>

<file path=xl/sharedStrings.xml><?xml version="1.0" encoding="utf-8"?>
<sst xmlns="http://schemas.openxmlformats.org/spreadsheetml/2006/main" count="22" uniqueCount="21">
  <si>
    <t>Change These Variables</t>
  </si>
  <si>
    <t>Month</t>
  </si>
  <si>
    <t>Kiwisaver</t>
  </si>
  <si>
    <t>Student Loan</t>
  </si>
  <si>
    <t>Savings</t>
  </si>
  <si>
    <t>Primary Income (year)</t>
  </si>
  <si>
    <t>Seconary Income (year)</t>
  </si>
  <si>
    <t>Initial Savings</t>
  </si>
  <si>
    <t>Kiwisaver (Employee)</t>
  </si>
  <si>
    <t>Initial Kiwisaver</t>
  </si>
  <si>
    <t>Living Expenses (month)</t>
  </si>
  <si>
    <t>These Variables Update Automatically</t>
  </si>
  <si>
    <t>Total Income (year)</t>
  </si>
  <si>
    <t>Tax Bracket</t>
  </si>
  <si>
    <t>Tax Paid (year)</t>
  </si>
  <si>
    <t>After Tax Pay (year)</t>
  </si>
  <si>
    <t xml:space="preserve">ACC </t>
  </si>
  <si>
    <t>Kiwisaver (Employer)</t>
  </si>
  <si>
    <t>Student Loan Repayment (Month)</t>
  </si>
  <si>
    <t>Take Home Pay (Month)</t>
  </si>
  <si>
    <t>Income Tax Rates (NZ)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</si>
</sst>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8" formatCode="0.0_);[Red]\(0.0\)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2EFDA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1" xfId="0" applyFill="1" applyBorder="1"/>
    <xf numFmtId="9" fontId="0" fillId="2" borderId="1" xfId="0" applyNumberFormat="1" applyFill="1" applyBorder="1"/>
    <xf numFmtId="9" fontId="0" fillId="0" borderId="1" xfId="0" applyNumberFormat="1" applyBorder="1"/>
    <xf numFmtId="0" fontId="0" fillId="4" borderId="1" xfId="0" applyFill="1" applyBorder="1"/>
    <xf numFmtId="0" fontId="1" fillId="3" borderId="1" xfId="0" applyFont="1" applyFill="1" applyBorder="1" applyAlignment="1">
      <alignment horizontal="center"/>
    </xf>
    <xf numFmtId="10" fontId="0" fillId="0" borderId="1" xfId="0" applyNumberFormat="1" applyBorder="1"/>
    <xf numFmtId="0" fontId="0" fillId="0" borderId="1" xfId="0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176" fontId="0" fillId="0" borderId="1" xfId="0" applyNumberFormat="1" applyBorder="1"/>
    <xf numFmtId="0" fontId="1" fillId="0" borderId="0" xfId="0" applyFont="1"/>
    <xf numFmtId="0" fontId="0" fillId="5" borderId="3" xfId="0" applyFill="1" applyBorder="1"/>
    <xf numFmtId="10" fontId="0" fillId="0" borderId="3" xfId="0" applyNumberFormat="1" applyBorder="1"/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NumberFormat="1" applyFill="1" applyBorder="1"/>
    <xf numFmtId="0" fontId="0" fillId="5" borderId="4" xfId="0" applyFill="1" applyBorder="1"/>
    <xf numFmtId="9" fontId="0" fillId="0" borderId="4" xfId="0" applyNumberFormat="1" applyBorder="1"/>
    <xf numFmtId="178" fontId="0" fillId="0" borderId="0" xfId="0" applyNumberFormat="1"/>
    <xf numFmtId="176" fontId="0" fillId="0" borderId="0" xfId="0" applyNumberFormat="1"/>
    <xf numFmtId="176" fontId="0" fillId="0" borderId="4" xfId="0" applyNumberFormat="1" applyBorder="1"/>
    <xf numFmtId="0" fontId="0" fillId="5" borderId="5" xfId="0" applyFill="1" applyBorder="1"/>
    <xf numFmtId="178" fontId="0" fillId="0" borderId="1" xfId="0" applyNumberFormat="1" applyBorder="1"/>
    <xf numFmtId="176" fontId="0" fillId="0" borderId="3" xfId="0" applyNumberFormat="1" applyBorder="1"/>
    <xf numFmtId="178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tabSelected="1" workbookViewId="0">
      <selection activeCell="B3" sqref="B3"/>
    </sheetView>
  </sheetViews>
  <sheetFormatPr defaultRowHeight="15"/>
  <cols>
    <col min="1" max="1" width="35.140625" bestFit="1" customWidth="1"/>
    <col min="2" max="2" width="9.140625" customWidth="1"/>
    <col min="4" max="4" width="9.140625" customWidth="1"/>
    <col min="5" max="5" width="10.140625" bestFit="1" customWidth="1"/>
    <col min="6" max="6" width="13.85546875" bestFit="1" customWidth="1"/>
    <col min="7" max="7" width="9.140625" customWidth="1"/>
  </cols>
  <sheetData>
    <row r="1" spans="1:7">
      <c r="A1" s="14" t="s">
        <v>0</v>
      </c>
      <c r="B1" s="14"/>
      <c r="D1" s="5" t="s">
        <v>1</v>
      </c>
      <c r="E1" s="5" t="s">
        <v>2</v>
      </c>
      <c r="F1" s="5" t="s">
        <v>3</v>
      </c>
      <c r="G1" s="5" t="s">
        <v>4</v>
      </c>
    </row>
    <row r="2" spans="1:7">
      <c r="A2" s="8" t="s">
        <v>5</v>
      </c>
      <c r="B2" s="1">
        <v>58000</v>
      </c>
      <c r="D2" s="12">
        <v>1</v>
      </c>
      <c r="E2" s="24">
        <f>B7+($B$6+$B$16)*$B$11/12</f>
        <v>290</v>
      </c>
      <c r="F2" s="25">
        <f>$B$4-$B$17</f>
        <v>31622.799999999999</v>
      </c>
      <c r="G2" s="25">
        <f>B5+$B$18-$B$8</f>
        <v>2175.6166666666668</v>
      </c>
    </row>
    <row r="3" spans="1:7">
      <c r="A3" s="8" t="s">
        <v>6</v>
      </c>
      <c r="B3" s="1">
        <v>0</v>
      </c>
      <c r="D3" s="8">
        <v>2</v>
      </c>
      <c r="E3" s="10">
        <f>E2+($B$6+$B$16)*$B$11/12</f>
        <v>580</v>
      </c>
      <c r="F3" s="23">
        <f>F2-$B$17</f>
        <v>31245.599999999999</v>
      </c>
      <c r="G3" s="23">
        <f>G2+$B$18-$B$8</f>
        <v>4351.2333333333336</v>
      </c>
    </row>
    <row r="4" spans="1:7">
      <c r="A4" s="8" t="s">
        <v>3</v>
      </c>
      <c r="B4" s="1">
        <v>32000</v>
      </c>
      <c r="D4" s="8">
        <v>3</v>
      </c>
      <c r="E4" s="10">
        <f>E3+($B$6+$B$16)*$B$11/12</f>
        <v>870</v>
      </c>
      <c r="F4" s="23">
        <f t="shared" ref="F4:F13" si="0">F3-$B$17</f>
        <v>30868.399999999998</v>
      </c>
      <c r="G4" s="23">
        <f t="shared" ref="G4:G13" si="1">G3+$B$18-$B$8</f>
        <v>6526.85</v>
      </c>
    </row>
    <row r="5" spans="1:7">
      <c r="A5" s="8" t="s">
        <v>7</v>
      </c>
      <c r="B5" s="1">
        <v>0</v>
      </c>
      <c r="D5" s="8">
        <v>4</v>
      </c>
      <c r="E5" s="10">
        <f t="shared" ref="E5:E13" si="2">E4+($B$6+$B$16)*$B$11/12</f>
        <v>1160</v>
      </c>
      <c r="F5" s="23">
        <f t="shared" si="0"/>
        <v>30491.199999999997</v>
      </c>
      <c r="G5" s="23">
        <f t="shared" si="1"/>
        <v>8702.4666666666672</v>
      </c>
    </row>
    <row r="6" spans="1:7">
      <c r="A6" s="8" t="s">
        <v>8</v>
      </c>
      <c r="B6" s="2">
        <v>0.03</v>
      </c>
      <c r="D6" s="8">
        <v>5</v>
      </c>
      <c r="E6" s="10">
        <f t="shared" si="2"/>
        <v>1450</v>
      </c>
      <c r="F6" s="23">
        <f t="shared" si="0"/>
        <v>30113.999999999996</v>
      </c>
      <c r="G6" s="23">
        <f t="shared" si="1"/>
        <v>10878.083333333334</v>
      </c>
    </row>
    <row r="7" spans="1:7">
      <c r="A7" s="8" t="s">
        <v>9</v>
      </c>
      <c r="B7" s="16">
        <v>0</v>
      </c>
      <c r="D7" s="8">
        <v>6</v>
      </c>
      <c r="E7" s="10">
        <f t="shared" si="2"/>
        <v>1740</v>
      </c>
      <c r="F7" s="23">
        <f t="shared" si="0"/>
        <v>29736.799999999996</v>
      </c>
      <c r="G7" s="23">
        <f t="shared" si="1"/>
        <v>13053.7</v>
      </c>
    </row>
    <row r="8" spans="1:7">
      <c r="A8" s="8" t="s">
        <v>10</v>
      </c>
      <c r="B8" s="4">
        <v>1200</v>
      </c>
      <c r="D8" s="8">
        <v>7</v>
      </c>
      <c r="E8" s="10">
        <f t="shared" si="2"/>
        <v>2030</v>
      </c>
      <c r="F8" s="23">
        <f t="shared" si="0"/>
        <v>29359.599999999995</v>
      </c>
      <c r="G8" s="23">
        <f t="shared" si="1"/>
        <v>15229.316666666666</v>
      </c>
    </row>
    <row r="9" spans="1:7">
      <c r="D9" s="8">
        <v>8</v>
      </c>
      <c r="E9" s="10">
        <f t="shared" si="2"/>
        <v>2320</v>
      </c>
      <c r="F9" s="23">
        <f t="shared" si="0"/>
        <v>28982.399999999994</v>
      </c>
      <c r="G9" s="23">
        <f t="shared" si="1"/>
        <v>17404.933333333334</v>
      </c>
    </row>
    <row r="10" spans="1:7">
      <c r="A10" s="15" t="s">
        <v>11</v>
      </c>
      <c r="B10" s="15"/>
      <c r="D10" s="8">
        <v>9</v>
      </c>
      <c r="E10" s="10">
        <f t="shared" si="2"/>
        <v>2610</v>
      </c>
      <c r="F10" s="23">
        <f t="shared" si="0"/>
        <v>28605.199999999993</v>
      </c>
      <c r="G10" s="23">
        <f t="shared" si="1"/>
        <v>19580.550000000003</v>
      </c>
    </row>
    <row r="11" spans="1:7">
      <c r="A11" s="9" t="s">
        <v>12</v>
      </c>
      <c r="B11" s="7">
        <f>B2+B3</f>
        <v>58000</v>
      </c>
      <c r="D11" s="8">
        <v>10</v>
      </c>
      <c r="E11" s="10">
        <f t="shared" si="2"/>
        <v>2900</v>
      </c>
      <c r="F11" s="23">
        <f t="shared" si="0"/>
        <v>28227.999999999993</v>
      </c>
      <c r="G11" s="23">
        <f t="shared" si="1"/>
        <v>21756.166666666672</v>
      </c>
    </row>
    <row r="12" spans="1:7">
      <c r="A12" s="8" t="s">
        <v>13</v>
      </c>
      <c r="B12" s="6">
        <f>IF(B11&gt;A25,B25,  IF(B11&gt;A24,B24,  IF(B11&gt;A23,B23,  IF(B11&gt;A22,B22,0%))))</f>
        <v>0.3</v>
      </c>
      <c r="D12" s="8">
        <v>11</v>
      </c>
      <c r="E12" s="10">
        <f t="shared" si="2"/>
        <v>3190</v>
      </c>
      <c r="F12" s="23">
        <f t="shared" si="0"/>
        <v>27850.799999999992</v>
      </c>
      <c r="G12" s="23">
        <f t="shared" si="1"/>
        <v>23931.78333333334</v>
      </c>
    </row>
    <row r="13" spans="1:7">
      <c r="A13" s="8" t="s">
        <v>14</v>
      </c>
      <c r="B13" s="10">
        <f>IF(B12=B25, B21*A22+B22*(A23-A22)+B23*(A24-A23)+B24*(A25-A24)+B25*(B11-A25),  IF( B12=B24, B21*A22+B22*(A23-A22)+B23*(A24-A23)+B24*(B11-A24), IF(B12=B23,B21*A22+B22*( A23-A22)+B23*(B11-A23),  IF( B12=B22,B21*A22+B22*(B11-A22), B21*B11))))</f>
        <v>10420</v>
      </c>
      <c r="D13" s="8">
        <v>12</v>
      </c>
      <c r="E13" s="10">
        <f t="shared" si="2"/>
        <v>3480</v>
      </c>
      <c r="F13" s="23">
        <f t="shared" si="0"/>
        <v>27473.599999999991</v>
      </c>
      <c r="G13" s="23">
        <f t="shared" si="1"/>
        <v>26107.400000000009</v>
      </c>
    </row>
    <row r="14" spans="1:7">
      <c r="A14" s="8" t="s">
        <v>15</v>
      </c>
      <c r="B14" s="10">
        <f>B11-B13</f>
        <v>47580</v>
      </c>
      <c r="D14" s="8">
        <v>13</v>
      </c>
      <c r="E14" s="10">
        <f t="shared" ref="E14:E38" si="3">E13+($B$6+$B$16)*$B$11/12</f>
        <v>3770</v>
      </c>
      <c r="F14" s="23">
        <f t="shared" ref="F14:F38" si="4">F13-$B$17</f>
        <v>27096.399999999991</v>
      </c>
      <c r="G14" s="23">
        <f t="shared" ref="G14:G38" si="5">G13+$B$18-$B$8</f>
        <v>28283.016666666677</v>
      </c>
    </row>
    <row r="15" spans="1:7">
      <c r="A15" s="8" t="s">
        <v>16</v>
      </c>
      <c r="B15" s="10">
        <f>B11/100*1.39</f>
        <v>806.19999999999993</v>
      </c>
      <c r="D15" s="8">
        <v>14</v>
      </c>
      <c r="E15" s="10">
        <f t="shared" si="3"/>
        <v>4060</v>
      </c>
      <c r="F15" s="23">
        <f t="shared" si="4"/>
        <v>26719.19999999999</v>
      </c>
      <c r="G15" s="23">
        <f t="shared" si="5"/>
        <v>30458.633333333346</v>
      </c>
    </row>
    <row r="16" spans="1:7">
      <c r="A16" s="17" t="s">
        <v>17</v>
      </c>
      <c r="B16" s="18">
        <f>MIN(3%,B6)</f>
        <v>0.03</v>
      </c>
      <c r="D16" s="8">
        <v>15</v>
      </c>
      <c r="E16" s="10">
        <f t="shared" si="3"/>
        <v>4350</v>
      </c>
      <c r="F16" s="23">
        <f t="shared" si="4"/>
        <v>26341.999999999989</v>
      </c>
      <c r="G16" s="23">
        <f t="shared" si="5"/>
        <v>32634.250000000015</v>
      </c>
    </row>
    <row r="17" spans="1:7">
      <c r="A17" s="17" t="s">
        <v>18</v>
      </c>
      <c r="B17" s="21">
        <f>0.12*($B$2/12-1690) + 0.12*B3/26*4</f>
        <v>377.19999999999993</v>
      </c>
      <c r="D17" s="8">
        <v>16</v>
      </c>
      <c r="E17" s="10">
        <f t="shared" si="3"/>
        <v>4640</v>
      </c>
      <c r="F17" s="23">
        <f t="shared" si="4"/>
        <v>25964.799999999988</v>
      </c>
      <c r="G17" s="23">
        <f t="shared" si="5"/>
        <v>34809.866666666683</v>
      </c>
    </row>
    <row r="18" spans="1:7">
      <c r="A18" s="22" t="s">
        <v>19</v>
      </c>
      <c r="B18" s="10">
        <f>B14/12-B17-B15/12-B16*B11/12</f>
        <v>3375.6166666666668</v>
      </c>
      <c r="D18" s="8">
        <v>17</v>
      </c>
      <c r="E18" s="10">
        <f t="shared" si="3"/>
        <v>4930</v>
      </c>
      <c r="F18" s="23">
        <f t="shared" si="4"/>
        <v>25587.599999999988</v>
      </c>
      <c r="G18" s="23">
        <f t="shared" si="5"/>
        <v>36985.483333333352</v>
      </c>
    </row>
    <row r="19" spans="1:7">
      <c r="D19" s="8">
        <v>18</v>
      </c>
      <c r="E19" s="10">
        <f t="shared" si="3"/>
        <v>5220</v>
      </c>
      <c r="F19" s="23">
        <f t="shared" si="4"/>
        <v>25210.399999999987</v>
      </c>
      <c r="G19" s="23">
        <f t="shared" si="5"/>
        <v>39161.10000000002</v>
      </c>
    </row>
    <row r="20" spans="1:7">
      <c r="A20" s="15" t="s">
        <v>20</v>
      </c>
      <c r="B20" s="15"/>
      <c r="C20" s="11"/>
      <c r="D20" s="8">
        <v>19</v>
      </c>
      <c r="E20" s="10">
        <f t="shared" si="3"/>
        <v>5510</v>
      </c>
      <c r="F20" s="23">
        <f t="shared" si="4"/>
        <v>24833.199999999986</v>
      </c>
      <c r="G20" s="23">
        <f t="shared" si="5"/>
        <v>41336.716666666689</v>
      </c>
    </row>
    <row r="21" spans="1:7">
      <c r="A21" s="12">
        <v>0</v>
      </c>
      <c r="B21" s="13">
        <v>0.105</v>
      </c>
      <c r="D21" s="8">
        <v>20</v>
      </c>
      <c r="E21" s="10">
        <f t="shared" si="3"/>
        <v>5800</v>
      </c>
      <c r="F21" s="23">
        <f t="shared" si="4"/>
        <v>24455.999999999985</v>
      </c>
      <c r="G21" s="23">
        <f t="shared" si="5"/>
        <v>43512.333333333358</v>
      </c>
    </row>
    <row r="22" spans="1:7">
      <c r="A22" s="8">
        <v>14000</v>
      </c>
      <c r="B22" s="6">
        <v>0.17499999999999999</v>
      </c>
      <c r="D22" s="8">
        <v>21</v>
      </c>
      <c r="E22" s="10">
        <f t="shared" si="3"/>
        <v>6090</v>
      </c>
      <c r="F22" s="23">
        <f t="shared" si="4"/>
        <v>24078.799999999985</v>
      </c>
      <c r="G22" s="23">
        <f t="shared" si="5"/>
        <v>45687.950000000026</v>
      </c>
    </row>
    <row r="23" spans="1:7">
      <c r="A23" s="8">
        <v>48000</v>
      </c>
      <c r="B23" s="3">
        <v>0.3</v>
      </c>
      <c r="D23" s="8">
        <v>22</v>
      </c>
      <c r="E23" s="10">
        <f t="shared" si="3"/>
        <v>6380</v>
      </c>
      <c r="F23" s="23">
        <f t="shared" si="4"/>
        <v>23701.599999999984</v>
      </c>
      <c r="G23" s="23">
        <f t="shared" si="5"/>
        <v>47863.566666666695</v>
      </c>
    </row>
    <row r="24" spans="1:7">
      <c r="A24" s="8">
        <v>70000</v>
      </c>
      <c r="B24" s="3">
        <v>0.33</v>
      </c>
      <c r="D24" s="8">
        <v>23</v>
      </c>
      <c r="E24" s="10">
        <f t="shared" si="3"/>
        <v>6670</v>
      </c>
      <c r="F24" s="23">
        <f t="shared" si="4"/>
        <v>23324.399999999983</v>
      </c>
      <c r="G24" s="23">
        <f t="shared" si="5"/>
        <v>50039.183333333363</v>
      </c>
    </row>
    <row r="25" spans="1:7">
      <c r="A25" s="8">
        <v>180000</v>
      </c>
      <c r="B25" s="3">
        <v>0.39</v>
      </c>
      <c r="D25" s="8">
        <v>24</v>
      </c>
      <c r="E25" s="10">
        <f t="shared" si="3"/>
        <v>6960</v>
      </c>
      <c r="F25" s="23">
        <f t="shared" si="4"/>
        <v>22947.199999999983</v>
      </c>
      <c r="G25" s="23">
        <f t="shared" si="5"/>
        <v>52214.800000000032</v>
      </c>
    </row>
    <row r="26" spans="1:7">
      <c r="D26" s="8">
        <v>25</v>
      </c>
      <c r="E26" s="10">
        <f t="shared" si="3"/>
        <v>7250</v>
      </c>
      <c r="F26" s="23">
        <f t="shared" si="4"/>
        <v>22569.999999999982</v>
      </c>
      <c r="G26" s="23">
        <f t="shared" si="5"/>
        <v>54390.416666666701</v>
      </c>
    </row>
    <row r="27" spans="1:7">
      <c r="D27" s="8">
        <v>26</v>
      </c>
      <c r="E27" s="10">
        <f t="shared" si="3"/>
        <v>7540</v>
      </c>
      <c r="F27" s="23">
        <f t="shared" si="4"/>
        <v>22192.799999999981</v>
      </c>
      <c r="G27" s="23">
        <f t="shared" si="5"/>
        <v>56566.033333333369</v>
      </c>
    </row>
    <row r="28" spans="1:7">
      <c r="D28" s="8">
        <v>27</v>
      </c>
      <c r="E28" s="10">
        <f t="shared" si="3"/>
        <v>7830</v>
      </c>
      <c r="F28" s="23">
        <f t="shared" si="4"/>
        <v>21815.59999999998</v>
      </c>
      <c r="G28" s="23">
        <f t="shared" si="5"/>
        <v>58741.650000000038</v>
      </c>
    </row>
    <row r="29" spans="1:7">
      <c r="D29" s="8">
        <v>28</v>
      </c>
      <c r="E29" s="10">
        <f t="shared" si="3"/>
        <v>8120</v>
      </c>
      <c r="F29" s="23">
        <f t="shared" si="4"/>
        <v>21438.39999999998</v>
      </c>
      <c r="G29" s="23">
        <f t="shared" si="5"/>
        <v>60917.266666666706</v>
      </c>
    </row>
    <row r="30" spans="1:7">
      <c r="D30" s="8">
        <v>29</v>
      </c>
      <c r="E30" s="10">
        <f t="shared" si="3"/>
        <v>8410</v>
      </c>
      <c r="F30" s="23">
        <f t="shared" si="4"/>
        <v>21061.199999999979</v>
      </c>
      <c r="G30" s="23">
        <f t="shared" si="5"/>
        <v>63092.883333333375</v>
      </c>
    </row>
    <row r="31" spans="1:7">
      <c r="D31" s="8">
        <v>30</v>
      </c>
      <c r="E31" s="10">
        <f t="shared" si="3"/>
        <v>8700</v>
      </c>
      <c r="F31" s="23">
        <f t="shared" si="4"/>
        <v>20683.999999999978</v>
      </c>
      <c r="G31" s="23">
        <f t="shared" si="5"/>
        <v>65268.500000000044</v>
      </c>
    </row>
    <row r="32" spans="1:7">
      <c r="D32" s="8">
        <v>31</v>
      </c>
      <c r="E32" s="10">
        <f t="shared" si="3"/>
        <v>8990</v>
      </c>
      <c r="F32" s="23">
        <f t="shared" si="4"/>
        <v>20306.799999999977</v>
      </c>
      <c r="G32" s="23">
        <f t="shared" si="5"/>
        <v>67444.116666666712</v>
      </c>
    </row>
    <row r="33" spans="4:7">
      <c r="D33" s="8">
        <v>32</v>
      </c>
      <c r="E33" s="10">
        <f t="shared" si="3"/>
        <v>9280</v>
      </c>
      <c r="F33" s="23">
        <f t="shared" si="4"/>
        <v>19929.599999999977</v>
      </c>
      <c r="G33" s="23">
        <f t="shared" si="5"/>
        <v>69619.733333333381</v>
      </c>
    </row>
    <row r="34" spans="4:7">
      <c r="D34" s="8">
        <v>33</v>
      </c>
      <c r="E34" s="10">
        <f t="shared" si="3"/>
        <v>9570</v>
      </c>
      <c r="F34" s="23">
        <f t="shared" si="4"/>
        <v>19552.399999999976</v>
      </c>
      <c r="G34" s="23">
        <f t="shared" si="5"/>
        <v>71795.350000000049</v>
      </c>
    </row>
    <row r="35" spans="4:7">
      <c r="D35" s="8">
        <v>34</v>
      </c>
      <c r="E35" s="10">
        <f t="shared" si="3"/>
        <v>9860</v>
      </c>
      <c r="F35" s="23">
        <f t="shared" si="4"/>
        <v>19175.199999999975</v>
      </c>
      <c r="G35" s="23">
        <f t="shared" si="5"/>
        <v>73970.966666666718</v>
      </c>
    </row>
    <row r="36" spans="4:7">
      <c r="D36" s="8">
        <v>35</v>
      </c>
      <c r="E36" s="10">
        <f t="shared" si="3"/>
        <v>10150</v>
      </c>
      <c r="F36" s="23">
        <f t="shared" si="4"/>
        <v>18797.999999999975</v>
      </c>
      <c r="G36" s="23">
        <f t="shared" si="5"/>
        <v>76146.583333333387</v>
      </c>
    </row>
    <row r="37" spans="4:7">
      <c r="D37" s="8">
        <v>36</v>
      </c>
      <c r="E37" s="10">
        <f t="shared" si="3"/>
        <v>10440</v>
      </c>
      <c r="F37" s="23">
        <f t="shared" si="4"/>
        <v>18420.799999999974</v>
      </c>
      <c r="G37" s="23">
        <f t="shared" si="5"/>
        <v>78322.200000000055</v>
      </c>
    </row>
    <row r="38" spans="4:7">
      <c r="E38" s="20"/>
      <c r="F38" s="19"/>
      <c r="G38" s="19"/>
    </row>
  </sheetData>
  <mergeCells count="3">
    <mergeCell ref="A1:B1"/>
    <mergeCell ref="A10:B10"/>
    <mergeCell ref="A20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Adrian Kennedy</cp:lastModifiedBy>
  <cp:revision/>
  <dcterms:created xsi:type="dcterms:W3CDTF">2021-12-10T00:55:28Z</dcterms:created>
  <dcterms:modified xsi:type="dcterms:W3CDTF">2021-12-10T02:36:37Z</dcterms:modified>
  <cp:category/>
  <cp:contentStatus/>
</cp:coreProperties>
</file>